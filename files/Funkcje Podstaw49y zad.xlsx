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d1\AC\Temp\"/>
    </mc:Choice>
  </mc:AlternateContent>
  <xr:revisionPtr revIDLastSave="0" documentId="8_{A494FFD3-258D-2D4C-A1D5-6270C2412B4D}" xr6:coauthVersionLast="47" xr6:coauthVersionMax="47" xr10:uidLastSave="{00000000-0000-0000-0000-000000000000}"/>
  <bookViews>
    <workbookView xWindow="-60" yWindow="-60" windowWidth="15480" windowHeight="11640" tabRatio="895" firstSheet="4" activeTab="14" xr2:uid="{80AA4AA1-5BAB-4CE8-B1DD-0858D9BAB6B5}"/>
  </bookViews>
  <sheets>
    <sheet name="SUMA" sheetId="15" r:id="rId1"/>
    <sheet name="ŚREDNIA" sheetId="18" r:id="rId2"/>
    <sheet name="JEŻELI" sheetId="4" r:id="rId3"/>
    <sheet name="ZAOKR" sheetId="17" r:id="rId4"/>
    <sheet name="MAX MIN" sheetId="16" r:id="rId5"/>
    <sheet name="ILE.NIEPUSTYCH" sheetId="9" r:id="rId6"/>
    <sheet name="DZIŚ" sheetId="19" r:id="rId7"/>
    <sheet name="LUB ORAZ" sheetId="5" r:id="rId8"/>
    <sheet name="Zagnieżdżanie Funkcji" sheetId="14" r:id="rId9"/>
    <sheet name="SUMA.ILOCZYNÓW" sheetId="6" r:id="rId10"/>
    <sheet name="Funkcje Tekstowe" sheetId="8" r:id="rId11"/>
    <sheet name="CZY.BŁĄD" sheetId="22" r:id="rId12"/>
    <sheet name="Funkcje Finansowe" sheetId="11" r:id="rId13"/>
    <sheet name="WIERSZ" sheetId="23" r:id="rId14"/>
    <sheet name="MODUŁ.LICZBY" sheetId="20" r:id="rId15"/>
    <sheet name="WYBIERZ" sheetId="13" r:id="rId16"/>
  </sheets>
  <definedNames>
    <definedName name="Green" localSheetId="1">#REF!</definedName>
    <definedName name="Green" localSheetId="8">#REF!</definedName>
    <definedName name="Green">#REF!</definedName>
    <definedName name="Hungary" localSheetId="1">#REF!</definedName>
    <definedName name="Hungary" localSheetId="8">#REF!</definedName>
    <definedName name="Hungary">#REF!</definedName>
    <definedName name="Poland" localSheetId="1">#REF!</definedName>
    <definedName name="Poland" localSheetId="8">#REF!</definedName>
    <definedName name="Poland">#REF!</definedName>
    <definedName name="Red" localSheetId="1">#REF!</definedName>
    <definedName name="Red" localSheetId="8">#REF!</definedName>
    <definedName name="Red">#REF!</definedName>
    <definedName name="Yellow" localSheetId="1">#REF!</definedName>
    <definedName name="Yellow" localSheetId="8">#REF!</definedName>
    <definedName name="Yellow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0" l="1"/>
  <c r="C5" i="20"/>
  <c r="C6" i="20"/>
  <c r="C7" i="20"/>
  <c r="C8" i="20"/>
  <c r="C9" i="20"/>
  <c r="C10" i="20"/>
  <c r="C11" i="20"/>
  <c r="C12" i="20"/>
  <c r="C13" i="20"/>
  <c r="C3" i="20"/>
  <c r="H12" i="8"/>
  <c r="H13" i="8"/>
  <c r="H14" i="8"/>
  <c r="H11" i="8"/>
  <c r="D12" i="8"/>
  <c r="D13" i="8"/>
  <c r="D14" i="8"/>
  <c r="D11" i="8"/>
  <c r="G4" i="6"/>
  <c r="C4" i="17"/>
  <c r="C5" i="17"/>
  <c r="C6" i="17"/>
  <c r="C7" i="17"/>
  <c r="C8" i="17"/>
  <c r="C9" i="17"/>
  <c r="C10" i="17"/>
  <c r="C11" i="17"/>
  <c r="C12" i="17"/>
  <c r="C3" i="17"/>
  <c r="C4" i="13"/>
  <c r="F12" i="8"/>
  <c r="F13" i="8"/>
  <c r="F14" i="8"/>
  <c r="F11" i="8"/>
  <c r="E12" i="8"/>
  <c r="E13" i="8"/>
  <c r="E14" i="8"/>
  <c r="E11" i="8"/>
  <c r="C12" i="8"/>
  <c r="C13" i="8"/>
  <c r="C14" i="8"/>
  <c r="C11" i="8"/>
  <c r="C4" i="14"/>
  <c r="C5" i="14"/>
  <c r="C6" i="14"/>
  <c r="C7" i="14"/>
  <c r="C8" i="14"/>
  <c r="C9" i="14"/>
  <c r="C10" i="14"/>
  <c r="C11" i="14"/>
  <c r="C12" i="14"/>
  <c r="C13" i="14"/>
  <c r="C3" i="14"/>
  <c r="G5" i="5"/>
  <c r="G6" i="5"/>
  <c r="G7" i="5"/>
  <c r="G8" i="5"/>
  <c r="G9" i="5"/>
  <c r="G10" i="5"/>
  <c r="G11" i="5"/>
  <c r="G12" i="5"/>
  <c r="G13" i="5"/>
  <c r="G14" i="5"/>
  <c r="G15" i="5"/>
  <c r="G4" i="5"/>
  <c r="F5" i="5"/>
  <c r="F6" i="5"/>
  <c r="F7" i="5"/>
  <c r="F8" i="5"/>
  <c r="F9" i="5"/>
  <c r="F10" i="5"/>
  <c r="F11" i="5"/>
  <c r="F12" i="5"/>
  <c r="F13" i="5"/>
  <c r="F14" i="5"/>
  <c r="F15" i="5"/>
  <c r="F4" i="5"/>
  <c r="D4" i="19"/>
  <c r="D5" i="19"/>
  <c r="D6" i="19"/>
  <c r="D7" i="19"/>
  <c r="D8" i="19"/>
  <c r="D9" i="19"/>
  <c r="D10" i="19"/>
  <c r="D11" i="19"/>
  <c r="D12" i="19"/>
  <c r="D13" i="19"/>
  <c r="D3" i="19"/>
  <c r="J6" i="9"/>
  <c r="J7" i="9"/>
  <c r="J8" i="9"/>
  <c r="J9" i="9"/>
  <c r="J10" i="9"/>
  <c r="J11" i="9"/>
  <c r="J12" i="9"/>
  <c r="J13" i="9"/>
  <c r="J14" i="9"/>
  <c r="J5" i="9"/>
  <c r="G15" i="9"/>
  <c r="H15" i="9"/>
  <c r="I15" i="9"/>
  <c r="D15" i="9"/>
  <c r="E15" i="9"/>
  <c r="F15" i="9"/>
  <c r="C15" i="9"/>
  <c r="I11" i="18"/>
  <c r="F11" i="18"/>
  <c r="C11" i="18"/>
  <c r="F11" i="15"/>
  <c r="C11" i="15"/>
  <c r="C15" i="16"/>
  <c r="C16" i="16"/>
  <c r="C18" i="8"/>
  <c r="C19" i="8"/>
  <c r="C20" i="8"/>
  <c r="C21" i="8"/>
  <c r="C22" i="8"/>
  <c r="C23" i="8"/>
  <c r="H18" i="8"/>
  <c r="G18" i="8"/>
  <c r="D18" i="8"/>
  <c r="F18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27" i="8"/>
  <c r="D27" i="8"/>
  <c r="E27" i="8"/>
  <c r="F28" i="8"/>
  <c r="F29" i="8"/>
  <c r="F30" i="8"/>
  <c r="F31" i="8"/>
  <c r="F32" i="8"/>
  <c r="F27" i="8"/>
  <c r="G19" i="8"/>
  <c r="H19" i="8"/>
  <c r="G20" i="8"/>
  <c r="H20" i="8"/>
  <c r="G21" i="8"/>
  <c r="H21" i="8"/>
  <c r="G22" i="8"/>
  <c r="H22" i="8"/>
  <c r="G23" i="8"/>
  <c r="H23" i="8"/>
  <c r="D23" i="8"/>
  <c r="F23" i="8"/>
  <c r="E23" i="8"/>
  <c r="D22" i="8"/>
  <c r="F22" i="8"/>
  <c r="E22" i="8"/>
  <c r="D21" i="8"/>
  <c r="F21" i="8"/>
  <c r="E21" i="8"/>
  <c r="D20" i="8"/>
  <c r="F20" i="8"/>
  <c r="E20" i="8"/>
  <c r="D19" i="8"/>
  <c r="F19" i="8"/>
  <c r="E19" i="8"/>
  <c r="E18" i="8"/>
  <c r="D14" i="22"/>
  <c r="H14" i="22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C18" i="11"/>
  <c r="C10" i="11"/>
  <c r="C12" i="11"/>
  <c r="C7" i="11"/>
  <c r="C13" i="11"/>
  <c r="G27" i="11"/>
  <c r="H27" i="11"/>
  <c r="I27" i="11"/>
  <c r="J27" i="11"/>
  <c r="K27" i="11"/>
  <c r="L27" i="11"/>
  <c r="M27" i="11"/>
  <c r="N27" i="11"/>
  <c r="O27" i="11"/>
  <c r="G5" i="6"/>
  <c r="I4" i="6"/>
  <c r="B4" i="23"/>
  <c r="B13" i="23"/>
  <c r="B12" i="23"/>
  <c r="B11" i="23"/>
  <c r="B10" i="23"/>
  <c r="B9" i="23"/>
  <c r="B8" i="23"/>
  <c r="B7" i="23"/>
  <c r="B6" i="23"/>
  <c r="B5" i="23"/>
  <c r="H27" i="8"/>
  <c r="G27" i="8"/>
  <c r="H29" i="8"/>
  <c r="G29" i="8"/>
  <c r="H28" i="8"/>
  <c r="G28" i="8"/>
  <c r="H32" i="8"/>
  <c r="G32" i="8"/>
  <c r="G31" i="8"/>
  <c r="H31" i="8"/>
  <c r="H30" i="8"/>
  <c r="G30" i="8"/>
</calcChain>
</file>

<file path=xl/sharedStrings.xml><?xml version="1.0" encoding="utf-8"?>
<sst xmlns="http://schemas.openxmlformats.org/spreadsheetml/2006/main" count="265" uniqueCount="191">
  <si>
    <t>Wzrost sprzedaży</t>
  </si>
  <si>
    <t>wzrost %</t>
  </si>
  <si>
    <t>produkt A</t>
  </si>
  <si>
    <t>produkt B</t>
  </si>
  <si>
    <t>Imie</t>
  </si>
  <si>
    <t>Płeć</t>
  </si>
  <si>
    <t>Agata</t>
  </si>
  <si>
    <t>Marcin</t>
  </si>
  <si>
    <t>Łucja</t>
  </si>
  <si>
    <t>Ewelina</t>
  </si>
  <si>
    <t>Kamil</t>
  </si>
  <si>
    <t>Kamilia</t>
  </si>
  <si>
    <t>Wojciech</t>
  </si>
  <si>
    <t>Przemysław</t>
  </si>
  <si>
    <t>Agnieszka</t>
  </si>
  <si>
    <t>Dorota</t>
  </si>
  <si>
    <t>Marta</t>
  </si>
  <si>
    <t>&lt;50</t>
  </si>
  <si>
    <t>&gt;100</t>
  </si>
  <si>
    <t>Oddział 1</t>
  </si>
  <si>
    <t>Oddział 2</t>
  </si>
  <si>
    <t>Oddział 3</t>
  </si>
  <si>
    <t>ORAZ</t>
  </si>
  <si>
    <t>LUB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</si>
  <si>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</si>
  <si>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</si>
  <si>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</si>
  <si>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</si>
  <si>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</si>
  <si>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</si>
  <si>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</si>
  <si>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</si>
  <si>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</si>
  <si>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</si>
  <si>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</si>
  <si>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</si>
  <si>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Total</t>
  </si>
  <si>
    <t xml:space="preserve">Modern Trade </t>
  </si>
  <si>
    <t>...</t>
  </si>
  <si>
    <t>pojemność</t>
  </si>
  <si>
    <t>maj 2007</t>
  </si>
  <si>
    <t>Tonik Bezalk. Super Day 200ml Very Cool Brand</t>
  </si>
  <si>
    <t>Tonik Bezalk. Super Night 150ml The Best Brand</t>
  </si>
  <si>
    <t>Tonik Bezalk. Super Life 90ml, Friendly Brand</t>
  </si>
  <si>
    <t xml:space="preserve"> </t>
  </si>
  <si>
    <t>Instrukcja: proszę o wpisanie wielkości rabatu przyznanego dla danego klienta w danym miesiącu</t>
  </si>
  <si>
    <t>Ilość rabatów</t>
  </si>
  <si>
    <t>Klient 1</t>
  </si>
  <si>
    <t>Klient 2</t>
  </si>
  <si>
    <t>Klient 3</t>
  </si>
  <si>
    <t>Klient 4</t>
  </si>
  <si>
    <t>Klient 5</t>
  </si>
  <si>
    <t>Klient 6</t>
  </si>
  <si>
    <t>Klient 7</t>
  </si>
  <si>
    <t>Klient 8</t>
  </si>
  <si>
    <t>Klient 9</t>
  </si>
  <si>
    <t>Klient 10</t>
  </si>
  <si>
    <t>W miesiącu</t>
  </si>
  <si>
    <t>NPV</t>
  </si>
  <si>
    <t>(Net Present Value - Wartość Bieżąca Netto)</t>
  </si>
  <si>
    <t>Stopa dyskontowa</t>
  </si>
  <si>
    <t>rok</t>
  </si>
  <si>
    <t>Wydatki NPV formuła</t>
  </si>
  <si>
    <t>Wydatek</t>
  </si>
  <si>
    <t>Wydatki NPV funkcja</t>
  </si>
  <si>
    <t>Przypływ</t>
  </si>
  <si>
    <t>Suma</t>
  </si>
  <si>
    <t>Przypływy NPV funkcja</t>
  </si>
  <si>
    <t>Zysk</t>
  </si>
  <si>
    <t>Zysk bezpośrednio z funkcji NPV</t>
  </si>
  <si>
    <t>IRR</t>
  </si>
  <si>
    <t>(Internal Rate of Return - Wewnętrzna Stopa Zwrotu)</t>
  </si>
  <si>
    <t>IRR funkcja</t>
  </si>
  <si>
    <t>CAGR</t>
  </si>
  <si>
    <t>CAGR formuła</t>
  </si>
  <si>
    <t>Sprzedaż</t>
  </si>
  <si>
    <t>klasa klienta</t>
  </si>
  <si>
    <t>rabat</t>
  </si>
  <si>
    <t xml:space="preserve">  </t>
  </si>
  <si>
    <t>produkt C</t>
  </si>
  <si>
    <t>produkt D</t>
  </si>
  <si>
    <t>produkt E</t>
  </si>
  <si>
    <t>produkt F</t>
  </si>
  <si>
    <t>produkt G</t>
  </si>
  <si>
    <t>produkt 1</t>
  </si>
  <si>
    <t>produkt 2</t>
  </si>
  <si>
    <t>produkt 3</t>
  </si>
  <si>
    <t>produkt 4</t>
  </si>
  <si>
    <t>produkt 5</t>
  </si>
  <si>
    <t>produkt 6</t>
  </si>
  <si>
    <t>produkt 7</t>
  </si>
  <si>
    <t>SUMA</t>
  </si>
  <si>
    <t>zawodnik 1</t>
  </si>
  <si>
    <t>zawodnik 2</t>
  </si>
  <si>
    <t>zawodnik 3</t>
  </si>
  <si>
    <t>zawodnik 4</t>
  </si>
  <si>
    <t>zawodnik 5</t>
  </si>
  <si>
    <t>zawodnik 6</t>
  </si>
  <si>
    <t>zawodnik 7</t>
  </si>
  <si>
    <t>zawodnik 8</t>
  </si>
  <si>
    <t>zawodnik 9</t>
  </si>
  <si>
    <t>zawodnik 10</t>
  </si>
  <si>
    <t>Najlepszy czas:</t>
  </si>
  <si>
    <t>Najgorszy czas:</t>
  </si>
  <si>
    <t>czas:</t>
  </si>
  <si>
    <t>liczba cyfr</t>
  </si>
  <si>
    <t>ZAOKR()</t>
  </si>
  <si>
    <t>liczba</t>
  </si>
  <si>
    <t>brak sprzedaży</t>
  </si>
  <si>
    <t>data dostawy</t>
  </si>
  <si>
    <t>pozostało dni:</t>
  </si>
  <si>
    <t>Dostawca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</si>
  <si>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</si>
  <si>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</si>
  <si>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</si>
  <si>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</si>
  <si>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</si>
  <si>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</si>
  <si>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</si>
  <si>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</si>
  <si>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</si>
  <si>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</si>
  <si>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</si>
  <si>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POLSKA</t>
  </si>
  <si>
    <t>ROSJA</t>
  </si>
  <si>
    <t>UKRAINA</t>
  </si>
  <si>
    <t>RUMUNIA</t>
  </si>
  <si>
    <t>Marża</t>
  </si>
  <si>
    <t>LICZBA</t>
  </si>
  <si>
    <t>MODUŁ LICZBY</t>
  </si>
  <si>
    <t>przychód</t>
  </si>
  <si>
    <t>marża</t>
  </si>
  <si>
    <t>średnia cena</t>
  </si>
  <si>
    <t>sztuki</t>
  </si>
  <si>
    <t>1Q'10</t>
  </si>
  <si>
    <t>2Q'10</t>
  </si>
  <si>
    <t>N/A</t>
  </si>
  <si>
    <t>?</t>
  </si>
  <si>
    <t>sztuki TOTAL</t>
  </si>
  <si>
    <t>Tabela Wynikowa</t>
  </si>
  <si>
    <t>Dolnośląskie</t>
  </si>
  <si>
    <t>Wielkopolskie</t>
  </si>
  <si>
    <t>Lubelskie</t>
  </si>
  <si>
    <t>Śląskie</t>
  </si>
  <si>
    <t>ŚREDNIA</t>
  </si>
  <si>
    <t>Lista projektów i ich terminy</t>
  </si>
  <si>
    <t>Nr.</t>
  </si>
  <si>
    <t>Nazwa Projektu</t>
  </si>
  <si>
    <t>Termin</t>
  </si>
  <si>
    <t>projekt OIP</t>
  </si>
  <si>
    <t>projekt OJD</t>
  </si>
  <si>
    <t>projekt POI</t>
  </si>
  <si>
    <t>projekt JIOU</t>
  </si>
  <si>
    <t>projekt YUI</t>
  </si>
  <si>
    <t>projekt OPI</t>
  </si>
  <si>
    <t>projekt IUY</t>
  </si>
  <si>
    <t>projekt SIS</t>
  </si>
  <si>
    <t>projekt GOL</t>
  </si>
  <si>
    <t>projekt IOP</t>
  </si>
  <si>
    <t>zły format daty</t>
  </si>
  <si>
    <t xml:space="preserve">miesiąc </t>
  </si>
  <si>
    <t>dzień</t>
  </si>
  <si>
    <t>dobry format</t>
  </si>
  <si>
    <t>sprawdzenie</t>
  </si>
  <si>
    <t>dobry format jedną formułą</t>
  </si>
  <si>
    <t>12-12-2009</t>
  </si>
  <si>
    <t>03-06-2009</t>
  </si>
  <si>
    <t>02-04-2008</t>
  </si>
  <si>
    <t>30-12-2007</t>
  </si>
  <si>
    <t>Imię i Nazwisko</t>
  </si>
  <si>
    <t>Gdzie spacja</t>
  </si>
  <si>
    <t>Ile znaków</t>
  </si>
  <si>
    <t>Imię</t>
  </si>
  <si>
    <t>Nazwisko</t>
  </si>
  <si>
    <t>Witold Tomeszewski</t>
  </si>
  <si>
    <t>Aleksander Walewski</t>
  </si>
  <si>
    <t>Witold Kurowski</t>
  </si>
  <si>
    <t>Michał Kaczyński</t>
  </si>
  <si>
    <t>Wacław Borkowski</t>
  </si>
  <si>
    <t>Paweł Kurowski</t>
  </si>
  <si>
    <t>Alternatywne rozwiązanie</t>
  </si>
  <si>
    <t>Wacław Antoni Borkowski</t>
  </si>
  <si>
    <t>Wiesław Michał Kaczyński</t>
  </si>
  <si>
    <t>Gdzie 1 spacja</t>
  </si>
  <si>
    <t>Gdzie 2 spacja</t>
  </si>
  <si>
    <t>Łucja Kosowska-Borkowska</t>
  </si>
  <si>
    <t>Marta Grzybowka-Bura</t>
  </si>
  <si>
    <t>Imiona i Nazwisko</t>
  </si>
  <si>
    <t>Pierwsze Imię</t>
  </si>
  <si>
    <t>Drugie Imię</t>
  </si>
  <si>
    <t>Czy ma tylko 1 imię?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</si>
</sst>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%"/>
    <numFmt numFmtId="167" formatCode="0.0000"/>
  </numFmts>
  <fonts count="9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2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charset val="238"/>
    </font>
    <font>
      <sz val="10"/>
      <color indexed="9"/>
      <name val="Arial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1" fillId="0" borderId="1" xfId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5" fillId="0" borderId="0" xfId="0" quotePrefix="1" applyFont="1" applyAlignment="1">
      <alignment horizontal="center"/>
    </xf>
    <xf numFmtId="0" fontId="5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1" fillId="0" borderId="1" xfId="1" applyBorder="1"/>
    <xf numFmtId="3" fontId="0" fillId="0" borderId="1" xfId="0" applyNumberFormat="1" applyBorder="1"/>
    <xf numFmtId="3" fontId="0" fillId="0" borderId="0" xfId="0" applyNumberFormat="1"/>
    <xf numFmtId="0" fontId="5" fillId="0" borderId="0" xfId="0" applyFont="1"/>
    <xf numFmtId="0" fontId="0" fillId="3" borderId="2" xfId="0" applyFill="1" applyBorder="1"/>
    <xf numFmtId="0" fontId="5" fillId="3" borderId="3" xfId="0" applyFont="1" applyFill="1" applyBorder="1"/>
    <xf numFmtId="0" fontId="6" fillId="3" borderId="4" xfId="0" quotePrefix="1" applyFont="1" applyFill="1" applyBorder="1" applyAlignment="1">
      <alignment horizontal="center"/>
    </xf>
    <xf numFmtId="17" fontId="6" fillId="3" borderId="4" xfId="0" applyNumberFormat="1" applyFont="1" applyFill="1" applyBorder="1" applyAlignment="1">
      <alignment horizontal="center"/>
    </xf>
    <xf numFmtId="0" fontId="2" fillId="4" borderId="5" xfId="0" applyFont="1" applyFill="1" applyBorder="1"/>
    <xf numFmtId="2" fontId="0" fillId="0" borderId="6" xfId="0" applyNumberFormat="1" applyBorder="1" applyAlignment="1">
      <alignment horizontal="center"/>
    </xf>
    <xf numFmtId="0" fontId="2" fillId="4" borderId="7" xfId="0" applyFont="1" applyFill="1" applyBorder="1"/>
    <xf numFmtId="2" fontId="0" fillId="0" borderId="1" xfId="0" applyNumberFormat="1" applyBorder="1" applyAlignment="1">
      <alignment horizontal="center"/>
    </xf>
    <xf numFmtId="0" fontId="5" fillId="0" borderId="8" xfId="0" applyFont="1" applyBorder="1"/>
    <xf numFmtId="0" fontId="5" fillId="0" borderId="4" xfId="0" applyFont="1" applyBorder="1"/>
    <xf numFmtId="0" fontId="0" fillId="0" borderId="9" xfId="0" applyBorder="1"/>
    <xf numFmtId="0" fontId="0" fillId="0" borderId="1" xfId="0" applyFill="1" applyBorder="1"/>
    <xf numFmtId="9" fontId="0" fillId="0" borderId="1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/>
    <xf numFmtId="0" fontId="0" fillId="0" borderId="10" xfId="0" applyBorder="1"/>
    <xf numFmtId="9" fontId="0" fillId="0" borderId="10" xfId="0" applyNumberFormat="1" applyBorder="1"/>
    <xf numFmtId="0" fontId="0" fillId="0" borderId="0" xfId="0" applyBorder="1"/>
    <xf numFmtId="167" fontId="0" fillId="0" borderId="0" xfId="0" applyNumberFormat="1" applyBorder="1"/>
    <xf numFmtId="167" fontId="0" fillId="0" borderId="10" xfId="0" applyNumberFormat="1" applyBorder="1"/>
    <xf numFmtId="164" fontId="0" fillId="0" borderId="1" xfId="0" applyNumberFormat="1" applyBorder="1"/>
    <xf numFmtId="4" fontId="0" fillId="0" borderId="10" xfId="0" applyNumberFormat="1" applyBorder="1"/>
    <xf numFmtId="4" fontId="0" fillId="0" borderId="0" xfId="0" applyNumberFormat="1"/>
    <xf numFmtId="0" fontId="0" fillId="0" borderId="11" xfId="0" applyFill="1" applyBorder="1"/>
    <xf numFmtId="4" fontId="0" fillId="0" borderId="11" xfId="0" applyNumberFormat="1" applyBorder="1"/>
    <xf numFmtId="166" fontId="1" fillId="0" borderId="10" xfId="1" applyNumberFormat="1" applyBorder="1"/>
    <xf numFmtId="165" fontId="1" fillId="0" borderId="10" xfId="1" applyNumberFormat="1" applyBorder="1"/>
    <xf numFmtId="9" fontId="1" fillId="0" borderId="1" xfId="1" applyFont="1" applyBorder="1"/>
    <xf numFmtId="165" fontId="1" fillId="0" borderId="1" xfId="1" applyNumberFormat="1" applyBorder="1" applyAlignment="1">
      <alignment horizontal="center"/>
    </xf>
    <xf numFmtId="165" fontId="1" fillId="0" borderId="1" xfId="1" applyNumberFormat="1" applyBorder="1"/>
    <xf numFmtId="9" fontId="1" fillId="0" borderId="0" xfId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21" fontId="0" fillId="2" borderId="1" xfId="0" applyNumberFormat="1" applyFill="1" applyBorder="1" applyAlignment="1">
      <alignment horizontal="center"/>
    </xf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9" fontId="0" fillId="0" borderId="0" xfId="1" applyFont="1"/>
    <xf numFmtId="0" fontId="1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" fontId="5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3" fontId="5" fillId="0" borderId="1" xfId="0" applyNumberFormat="1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17" xfId="0" applyFill="1" applyBorder="1" applyAlignment="1">
      <alignment horizontal="left" wrapText="1"/>
    </xf>
    <xf numFmtId="0" fontId="0" fillId="3" borderId="16" xfId="0" applyFill="1" applyBorder="1" applyAlignment="1">
      <alignment horizontal="left" wrapText="1"/>
    </xf>
    <xf numFmtId="0" fontId="0" fillId="3" borderId="18" xfId="0" applyFill="1" applyBorder="1" applyAlignment="1">
      <alignment horizontal="left" wrapText="1"/>
    </xf>
    <xf numFmtId="0" fontId="8" fillId="0" borderId="0" xfId="0" applyFont="1"/>
    <xf numFmtId="0" fontId="7" fillId="0" borderId="20" xfId="0" applyFont="1" applyBorder="1" applyAlignment="1">
      <alignment horizontal="center"/>
    </xf>
    <xf numFmtId="14" fontId="7" fillId="0" borderId="25" xfId="0" applyNumberFormat="1" applyFont="1" applyBorder="1" applyAlignment="1">
      <alignment horizontal="center"/>
    </xf>
    <xf numFmtId="14" fontId="7" fillId="0" borderId="20" xfId="0" applyNumberFormat="1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14" fontId="7" fillId="0" borderId="25" xfId="0" applyNumberFormat="1" applyFont="1" applyBorder="1" applyAlignment="1">
      <alignment horizontal="left"/>
    </xf>
    <xf numFmtId="0" fontId="7" fillId="0" borderId="6" xfId="0" applyFont="1" applyBorder="1"/>
    <xf numFmtId="0" fontId="7" fillId="0" borderId="27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4" fontId="7" fillId="0" borderId="9" xfId="0" applyNumberFormat="1" applyFont="1" applyBorder="1" applyAlignment="1">
      <alignment horizontal="left"/>
    </xf>
    <xf numFmtId="0" fontId="7" fillId="0" borderId="1" xfId="0" applyFont="1" applyBorder="1"/>
    <xf numFmtId="0" fontId="7" fillId="0" borderId="21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14" fontId="7" fillId="0" borderId="23" xfId="0" applyNumberFormat="1" applyFont="1" applyBorder="1" applyAlignment="1">
      <alignment horizontal="left"/>
    </xf>
    <xf numFmtId="0" fontId="7" fillId="0" borderId="4" xfId="0" applyFont="1" applyBorder="1"/>
    <xf numFmtId="0" fontId="7" fillId="0" borderId="24" xfId="0" applyFont="1" applyBorder="1"/>
    <xf numFmtId="14" fontId="7" fillId="0" borderId="20" xfId="0" applyNumberFormat="1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4" fontId="7" fillId="0" borderId="4" xfId="0" applyNumberFormat="1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14" fontId="7" fillId="0" borderId="26" xfId="0" applyNumberFormat="1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3">
    <cellStyle name="Normal" xfId="0" builtinId="0"/>
    <cellStyle name="Percent" xfId="1" builtinId="5"/>
    <cellStyle name="Обычный_Huefs130" xfId="2" xr:uid="{396A734C-A191-407A-B43D-CA82C5AFEA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6F14-6146-4FDF-B7B3-3FFEF83FA2B1}">
  <dimension ref="B3:F11"/>
  <sheetViews>
    <sheetView workbookViewId="0">
      <selection activeCell="B25" sqref="B25"/>
    </sheetView>
  </sheetViews>
  <sheetFormatPr defaultRowHeight="12.75" x14ac:dyDescent="0.15"/>
  <sheetData>
    <row r="3" spans="2:6" x14ac:dyDescent="0.15">
      <c r="C3">
        <v>2010</v>
      </c>
      <c r="F3">
        <v>2010</v>
      </c>
    </row>
    <row r="4" spans="2:6" x14ac:dyDescent="0.15">
      <c r="B4" t="s">
        <v>84</v>
      </c>
      <c r="C4">
        <v>234</v>
      </c>
      <c r="E4" t="s">
        <v>84</v>
      </c>
      <c r="F4">
        <v>234</v>
      </c>
    </row>
    <row r="5" spans="2:6" x14ac:dyDescent="0.15">
      <c r="B5" t="s">
        <v>85</v>
      </c>
      <c r="C5">
        <v>345</v>
      </c>
      <c r="E5" t="s">
        <v>85</v>
      </c>
      <c r="F5">
        <v>345</v>
      </c>
    </row>
    <row r="6" spans="2:6" x14ac:dyDescent="0.15">
      <c r="B6" t="s">
        <v>86</v>
      </c>
      <c r="E6" t="s">
        <v>86</v>
      </c>
      <c r="F6">
        <v>456</v>
      </c>
    </row>
    <row r="7" spans="2:6" x14ac:dyDescent="0.15">
      <c r="B7" t="s">
        <v>87</v>
      </c>
      <c r="C7">
        <v>789</v>
      </c>
      <c r="E7" t="s">
        <v>87</v>
      </c>
      <c r="F7">
        <v>789</v>
      </c>
    </row>
    <row r="8" spans="2:6" x14ac:dyDescent="0.15">
      <c r="B8" t="s">
        <v>88</v>
      </c>
      <c r="C8">
        <v>876</v>
      </c>
      <c r="E8" t="s">
        <v>88</v>
      </c>
      <c r="F8">
        <v>876</v>
      </c>
    </row>
    <row r="9" spans="2:6" x14ac:dyDescent="0.15">
      <c r="B9" t="s">
        <v>89</v>
      </c>
      <c r="C9">
        <v>432</v>
      </c>
      <c r="E9" t="s">
        <v>89</v>
      </c>
      <c r="F9">
        <v>432</v>
      </c>
    </row>
    <row r="10" spans="2:6" x14ac:dyDescent="0.15">
      <c r="B10" t="s">
        <v>90</v>
      </c>
      <c r="C10">
        <v>987</v>
      </c>
      <c r="E10" t="s">
        <v>90</v>
      </c>
      <c r="F10">
        <v>987</v>
      </c>
    </row>
    <row r="11" spans="2:6" x14ac:dyDescent="0.15">
      <c r="B11" t="s">
        <v>91</v>
      </c>
      <c r="C11">
        <f>SUM(C4:C10)</f>
        <v>3663</v>
      </c>
      <c r="E11" t="s">
        <v>91</v>
      </c>
      <c r="F11">
        <f>SUM(F4:F10)</f>
        <v>4119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A468-FA9C-46A3-8446-E69147DBC490}">
  <dimension ref="B3:I11"/>
  <sheetViews>
    <sheetView topLeftCell="B1" workbookViewId="0">
      <selection activeCell="G35" sqref="G35"/>
    </sheetView>
  </sheetViews>
  <sheetFormatPr defaultRowHeight="12.75" x14ac:dyDescent="0.15"/>
  <cols>
    <col min="1" max="1" width="6.7421875" customWidth="1"/>
    <col min="2" max="2" width="10.515625" customWidth="1"/>
    <col min="4" max="4" width="6.7421875" customWidth="1"/>
    <col min="7" max="7" width="5.390625" customWidth="1"/>
    <col min="9" max="9" width="13.88671875" bestFit="1" customWidth="1"/>
  </cols>
  <sheetData>
    <row r="3" spans="2:9" x14ac:dyDescent="0.15">
      <c r="B3" s="3"/>
      <c r="C3" s="3">
        <v>2010</v>
      </c>
      <c r="E3" s="3"/>
      <c r="F3" s="3">
        <v>2010</v>
      </c>
      <c r="H3" s="3"/>
      <c r="I3" s="3">
        <v>2010</v>
      </c>
    </row>
    <row r="4" spans="2:9" x14ac:dyDescent="0.15">
      <c r="B4" s="3" t="s">
        <v>84</v>
      </c>
      <c r="C4" s="3">
        <v>100</v>
      </c>
      <c r="E4" s="3" t="s">
        <v>84</v>
      </c>
      <c r="F4" s="3">
        <v>100</v>
      </c>
      <c r="H4" s="3" t="s">
        <v>84</v>
      </c>
      <c r="I4" s="3">
        <v>100</v>
      </c>
    </row>
    <row r="5" spans="2:9" x14ac:dyDescent="0.15">
      <c r="B5" s="3" t="s">
        <v>85</v>
      </c>
      <c r="C5" s="3">
        <v>200</v>
      </c>
      <c r="E5" s="3" t="s">
        <v>85</v>
      </c>
      <c r="F5" s="3">
        <v>200</v>
      </c>
      <c r="H5" s="3" t="s">
        <v>85</v>
      </c>
      <c r="I5" s="3">
        <v>200</v>
      </c>
    </row>
    <row r="6" spans="2:9" x14ac:dyDescent="0.15">
      <c r="B6" s="3" t="s">
        <v>86</v>
      </c>
      <c r="C6" s="3">
        <v>100</v>
      </c>
      <c r="E6" s="3" t="s">
        <v>86</v>
      </c>
      <c r="F6" s="3">
        <v>100</v>
      </c>
      <c r="H6" s="3" t="s">
        <v>86</v>
      </c>
      <c r="I6" s="3">
        <v>100</v>
      </c>
    </row>
    <row r="7" spans="2:9" x14ac:dyDescent="0.15">
      <c r="B7" s="3" t="s">
        <v>87</v>
      </c>
      <c r="C7" s="3"/>
      <c r="E7" s="3" t="s">
        <v>87</v>
      </c>
      <c r="F7" s="47">
        <v>0</v>
      </c>
      <c r="H7" s="3" t="s">
        <v>87</v>
      </c>
      <c r="I7" s="48" t="s">
        <v>108</v>
      </c>
    </row>
    <row r="8" spans="2:9" x14ac:dyDescent="0.15">
      <c r="B8" s="3" t="s">
        <v>88</v>
      </c>
      <c r="C8" s="3">
        <v>200</v>
      </c>
      <c r="E8" s="3" t="s">
        <v>88</v>
      </c>
      <c r="F8" s="3">
        <v>200</v>
      </c>
      <c r="H8" s="3" t="s">
        <v>88</v>
      </c>
      <c r="I8" s="3">
        <v>200</v>
      </c>
    </row>
    <row r="9" spans="2:9" x14ac:dyDescent="0.15">
      <c r="B9" s="3" t="s">
        <v>89</v>
      </c>
      <c r="C9" s="3">
        <v>100</v>
      </c>
      <c r="E9" s="3" t="s">
        <v>89</v>
      </c>
      <c r="F9" s="3">
        <v>100</v>
      </c>
      <c r="H9" s="3" t="s">
        <v>89</v>
      </c>
      <c r="I9" s="3">
        <v>100</v>
      </c>
    </row>
    <row r="10" spans="2:9" x14ac:dyDescent="0.15">
      <c r="B10" s="3" t="s">
        <v>90</v>
      </c>
      <c r="C10" s="3">
        <v>200</v>
      </c>
      <c r="E10" s="3" t="s">
        <v>90</v>
      </c>
      <c r="F10" s="3">
        <v>200</v>
      </c>
      <c r="H10" s="3" t="s">
        <v>90</v>
      </c>
      <c r="I10" s="3">
        <v>200</v>
      </c>
    </row>
    <row r="11" spans="2:9" s="14" customFormat="1" x14ac:dyDescent="0.15">
      <c r="B11" s="47" t="s">
        <v>144</v>
      </c>
      <c r="C11" s="70">
        <f>MEDIAN(C4,C5,C6,C7,C8,C9,C10)</f>
        <v>150</v>
      </c>
      <c r="E11" s="47" t="s">
        <v>144</v>
      </c>
      <c r="F11" s="70">
        <f>MEDIAN(F4:F10)</f>
        <v>100</v>
      </c>
      <c r="H11" s="47" t="s">
        <v>144</v>
      </c>
      <c r="I11" s="70">
        <f>MEDIAN(I4:I10)</f>
        <v>150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DDA1-5C2A-4F9C-86DF-77AD28D08FCA}">
  <sheetPr codeName="Arkusz27"/>
  <dimension ref="B2:L23"/>
  <sheetViews>
    <sheetView showGridLines="0" workbookViewId="0">
      <selection activeCell="F35" sqref="F35"/>
    </sheetView>
  </sheetViews>
  <sheetFormatPr defaultRowHeight="12.75" x14ac:dyDescent="0.15"/>
  <cols>
    <col min="5" max="5" width="9.3046875" style="2" bestFit="1" customWidth="1"/>
  </cols>
  <sheetData>
    <row r="2" spans="2:6" ht="24" customHeight="1" x14ac:dyDescent="0.15">
      <c r="B2" s="1" t="s">
        <v>0</v>
      </c>
    </row>
    <row r="3" spans="2:6" x14ac:dyDescent="0.15">
      <c r="B3" s="3"/>
      <c r="C3" s="3">
        <v>2009</v>
      </c>
      <c r="D3" s="3">
        <v>2010</v>
      </c>
      <c r="E3" s="4" t="s">
        <v>1</v>
      </c>
    </row>
    <row r="4" spans="2:6" x14ac:dyDescent="0.15">
      <c r="B4" s="3" t="s">
        <v>2</v>
      </c>
      <c r="C4" s="3">
        <v>234</v>
      </c>
      <c r="D4" s="3">
        <v>567</v>
      </c>
      <c r="E4" s="5"/>
    </row>
    <row r="5" spans="2:6" x14ac:dyDescent="0.15">
      <c r="B5" s="3" t="s">
        <v>3</v>
      </c>
      <c r="C5" s="3">
        <v>0</v>
      </c>
      <c r="D5" s="3">
        <v>345</v>
      </c>
      <c r="E5" s="5"/>
    </row>
    <row r="6" spans="2:6" x14ac:dyDescent="0.15">
      <c r="B6" s="3" t="s">
        <v>79</v>
      </c>
      <c r="C6" s="6">
        <v>679.43882345868815</v>
      </c>
      <c r="D6" s="6">
        <v>34.2616845111543</v>
      </c>
      <c r="E6" s="5"/>
    </row>
    <row r="7" spans="2:6" x14ac:dyDescent="0.15">
      <c r="B7" s="3" t="s">
        <v>80</v>
      </c>
      <c r="C7" s="6">
        <v>0</v>
      </c>
      <c r="D7" s="6">
        <v>178.2267973505065</v>
      </c>
      <c r="E7" s="5"/>
    </row>
    <row r="8" spans="2:6" x14ac:dyDescent="0.15">
      <c r="B8" s="3" t="s">
        <v>81</v>
      </c>
      <c r="C8" s="6">
        <v>726.98020182499647</v>
      </c>
      <c r="D8" s="6">
        <v>396.30059870457114</v>
      </c>
      <c r="E8" s="5"/>
    </row>
    <row r="9" spans="2:6" x14ac:dyDescent="0.15">
      <c r="B9" s="3" t="s">
        <v>82</v>
      </c>
      <c r="C9" s="6">
        <v>460.52271622912946</v>
      </c>
      <c r="D9" s="6">
        <v>549.94685542043703</v>
      </c>
      <c r="E9" s="5"/>
    </row>
    <row r="10" spans="2:6" x14ac:dyDescent="0.15">
      <c r="B10" s="3" t="s">
        <v>83</v>
      </c>
      <c r="C10" s="6">
        <v>0</v>
      </c>
      <c r="D10" s="6">
        <v>26.759333045719423</v>
      </c>
      <c r="E10" s="5"/>
    </row>
    <row r="14" spans="2:6" x14ac:dyDescent="0.15">
      <c r="F14" t="s">
        <v>44</v>
      </c>
    </row>
    <row r="19" spans="12:12" x14ac:dyDescent="0.15">
      <c r="L19" t="s">
        <v>44</v>
      </c>
    </row>
    <row r="23" spans="12:12" x14ac:dyDescent="0.15">
      <c r="L23" t="s">
        <v>44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BFEA-F5BC-470E-ABE2-989C6B2CA71E}">
  <dimension ref="B2:D12"/>
  <sheetViews>
    <sheetView workbookViewId="0">
      <selection activeCell="C16" sqref="C16"/>
    </sheetView>
  </sheetViews>
  <sheetFormatPr defaultRowHeight="12.75" x14ac:dyDescent="0.15"/>
  <cols>
    <col min="2" max="2" width="13.6171875" customWidth="1"/>
    <col min="3" max="3" width="14.29296875" customWidth="1"/>
  </cols>
  <sheetData>
    <row r="2" spans="2:4" x14ac:dyDescent="0.15">
      <c r="B2" s="2" t="s">
        <v>107</v>
      </c>
      <c r="C2" s="2" t="s">
        <v>106</v>
      </c>
      <c r="D2" s="2" t="s">
        <v>105</v>
      </c>
    </row>
    <row r="3" spans="2:4" x14ac:dyDescent="0.15">
      <c r="B3">
        <v>1.2345678899999999</v>
      </c>
      <c r="C3">
        <f>ROUND(B3,D3)</f>
        <v>1</v>
      </c>
      <c r="D3">
        <v>0</v>
      </c>
    </row>
    <row r="4" spans="2:4" x14ac:dyDescent="0.15">
      <c r="B4">
        <v>1.2345678899999999</v>
      </c>
      <c r="C4">
        <f t="shared" ref="C4:C12" si="0">ROUND(B4,D4)</f>
        <v>1.2</v>
      </c>
      <c r="D4">
        <v>1</v>
      </c>
    </row>
    <row r="5" spans="2:4" x14ac:dyDescent="0.15">
      <c r="B5">
        <v>1.2345678899999999</v>
      </c>
      <c r="C5">
        <f t="shared" si="0"/>
        <v>1.23</v>
      </c>
      <c r="D5">
        <v>2</v>
      </c>
    </row>
    <row r="6" spans="2:4" x14ac:dyDescent="0.15">
      <c r="B6">
        <v>1.2345678899999999</v>
      </c>
      <c r="C6">
        <f t="shared" si="0"/>
        <v>1.2350000000000001</v>
      </c>
      <c r="D6">
        <v>3</v>
      </c>
    </row>
    <row r="7" spans="2:4" x14ac:dyDescent="0.15">
      <c r="B7">
        <v>1.2345678899999999</v>
      </c>
      <c r="C7">
        <f t="shared" si="0"/>
        <v>1.2345999999999999</v>
      </c>
      <c r="D7">
        <v>4</v>
      </c>
    </row>
    <row r="8" spans="2:4" x14ac:dyDescent="0.15">
      <c r="B8">
        <v>1.2345678899999999</v>
      </c>
      <c r="C8">
        <f t="shared" si="0"/>
        <v>1.2345699999999999</v>
      </c>
      <c r="D8">
        <v>5</v>
      </c>
    </row>
    <row r="9" spans="2:4" x14ac:dyDescent="0.15">
      <c r="B9">
        <v>1.2345678899999999</v>
      </c>
      <c r="C9">
        <f t="shared" si="0"/>
        <v>1.2345680000000001</v>
      </c>
      <c r="D9">
        <v>6</v>
      </c>
    </row>
    <row r="10" spans="2:4" x14ac:dyDescent="0.15">
      <c r="B10">
        <v>1.2345678899999999</v>
      </c>
      <c r="C10">
        <f t="shared" si="0"/>
        <v>1.2345679000000001</v>
      </c>
      <c r="D10">
        <v>7</v>
      </c>
    </row>
    <row r="11" spans="2:4" x14ac:dyDescent="0.15">
      <c r="B11">
        <v>1.2345678899999999</v>
      </c>
      <c r="C11">
        <f t="shared" si="0"/>
        <v>1.2345678899999999</v>
      </c>
      <c r="D11">
        <v>8</v>
      </c>
    </row>
    <row r="12" spans="2:4" x14ac:dyDescent="0.15">
      <c r="B12">
        <v>1.2345678899999999</v>
      </c>
      <c r="C12">
        <f t="shared" si="0"/>
        <v>1.2345678899999999</v>
      </c>
      <c r="D12">
        <v>9</v>
      </c>
    </row>
  </sheetData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D7FC-F3EB-48CA-BA11-DCEFB7F51211}">
  <dimension ref="B3:C16"/>
  <sheetViews>
    <sheetView workbookViewId="0">
      <selection activeCell="C15" sqref="C15"/>
    </sheetView>
  </sheetViews>
  <sheetFormatPr defaultRowHeight="12.75" x14ac:dyDescent="0.15"/>
  <cols>
    <col min="2" max="2" width="14.5625" bestFit="1" customWidth="1"/>
    <col min="3" max="3" width="15.640625" style="2" bestFit="1" customWidth="1"/>
  </cols>
  <sheetData>
    <row r="3" spans="2:3" x14ac:dyDescent="0.15">
      <c r="B3" s="3"/>
      <c r="C3" s="9" t="s">
        <v>104</v>
      </c>
    </row>
    <row r="4" spans="2:3" x14ac:dyDescent="0.15">
      <c r="B4" s="3" t="s">
        <v>92</v>
      </c>
      <c r="C4" s="49"/>
    </row>
    <row r="5" spans="2:3" x14ac:dyDescent="0.15">
      <c r="B5" s="3" t="s">
        <v>96</v>
      </c>
      <c r="C5" s="49"/>
    </row>
    <row r="6" spans="2:3" x14ac:dyDescent="0.15">
      <c r="B6" s="3" t="s">
        <v>99</v>
      </c>
      <c r="C6" s="49"/>
    </row>
    <row r="7" spans="2:3" x14ac:dyDescent="0.15">
      <c r="B7" s="3" t="s">
        <v>101</v>
      </c>
      <c r="C7" s="51"/>
    </row>
    <row r="8" spans="2:3" x14ac:dyDescent="0.15">
      <c r="B8" s="3" t="s">
        <v>94</v>
      </c>
      <c r="C8" s="49"/>
    </row>
    <row r="9" spans="2:3" x14ac:dyDescent="0.15">
      <c r="B9" s="3" t="s">
        <v>100</v>
      </c>
      <c r="C9" s="49"/>
    </row>
    <row r="10" spans="2:3" x14ac:dyDescent="0.15">
      <c r="B10" s="3" t="s">
        <v>97</v>
      </c>
      <c r="C10" s="49"/>
    </row>
    <row r="11" spans="2:3" x14ac:dyDescent="0.15">
      <c r="B11" s="3" t="s">
        <v>95</v>
      </c>
      <c r="C11" s="50"/>
    </row>
    <row r="12" spans="2:3" x14ac:dyDescent="0.15">
      <c r="B12" s="3" t="s">
        <v>98</v>
      </c>
      <c r="C12" s="49"/>
    </row>
    <row r="13" spans="2:3" x14ac:dyDescent="0.15">
      <c r="B13" s="3" t="s">
        <v>93</v>
      </c>
      <c r="C13" s="51"/>
    </row>
    <row r="15" spans="2:3" x14ac:dyDescent="0.15">
      <c r="B15" s="3" t="s">
        <v>102</v>
      </c>
      <c r="C15" s="49">
        <f>MIN(C4:C13)</f>
        <v>0</v>
      </c>
    </row>
    <row r="16" spans="2:3" x14ac:dyDescent="0.15">
      <c r="B16" s="3" t="s">
        <v>103</v>
      </c>
      <c r="C16" s="49">
        <f>MAX(C4:C13)</f>
        <v>0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1404-82C7-40CD-A881-6348701CB2AD}">
  <sheetPr codeName="Arkusz24"/>
  <dimension ref="B2:J15"/>
  <sheetViews>
    <sheetView showGridLines="0" topLeftCell="E1" workbookViewId="0">
      <selection activeCell="J23" sqref="J23"/>
    </sheetView>
  </sheetViews>
  <sheetFormatPr defaultRowHeight="12.75" x14ac:dyDescent="0.15"/>
  <cols>
    <col min="2" max="2" width="11.0546875" customWidth="1"/>
    <col min="10" max="10" width="11.73046875" bestFit="1" customWidth="1"/>
  </cols>
  <sheetData>
    <row r="2" spans="2:10" x14ac:dyDescent="0.15">
      <c r="B2" t="s">
        <v>45</v>
      </c>
    </row>
    <row r="4" spans="2:10" x14ac:dyDescent="0.15">
      <c r="B4" s="3"/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25" t="s">
        <v>30</v>
      </c>
      <c r="J4" s="26" t="s">
        <v>46</v>
      </c>
    </row>
    <row r="5" spans="2:10" x14ac:dyDescent="0.15">
      <c r="B5" s="3" t="s">
        <v>47</v>
      </c>
      <c r="C5" s="27">
        <v>0.2</v>
      </c>
      <c r="D5" s="4"/>
      <c r="E5" s="4"/>
      <c r="F5" s="4"/>
      <c r="G5" s="4"/>
      <c r="H5" s="27">
        <v>0.25</v>
      </c>
      <c r="I5" s="28">
        <v>0.22</v>
      </c>
      <c r="J5" s="27">
        <f>7-COUNTBLANK(C5:I5)</f>
        <v>3</v>
      </c>
    </row>
    <row r="6" spans="2:10" x14ac:dyDescent="0.15">
      <c r="B6" s="3" t="s">
        <v>48</v>
      </c>
      <c r="C6" s="4"/>
      <c r="D6" s="27">
        <v>0.3</v>
      </c>
      <c r="E6" s="4"/>
      <c r="F6" s="27">
        <v>0.25</v>
      </c>
      <c r="G6" s="4"/>
      <c r="H6" s="4"/>
      <c r="I6" s="28">
        <v>0.25</v>
      </c>
      <c r="J6" s="27">
        <f t="shared" ref="J6:J14" si="0">7-COUNTBLANK(C6:I6)</f>
        <v>3</v>
      </c>
    </row>
    <row r="7" spans="2:10" x14ac:dyDescent="0.15">
      <c r="B7" s="3" t="s">
        <v>49</v>
      </c>
      <c r="C7" s="4"/>
      <c r="D7" s="4"/>
      <c r="E7" s="4"/>
      <c r="F7" s="4"/>
      <c r="G7" s="4"/>
      <c r="H7" s="4"/>
      <c r="I7" s="28">
        <v>0.22</v>
      </c>
      <c r="J7" s="27">
        <f t="shared" si="0"/>
        <v>1</v>
      </c>
    </row>
    <row r="8" spans="2:10" x14ac:dyDescent="0.15">
      <c r="B8" s="3" t="s">
        <v>50</v>
      </c>
      <c r="C8" s="27">
        <v>0.15</v>
      </c>
      <c r="D8" s="4"/>
      <c r="E8" s="4"/>
      <c r="F8" s="27">
        <v>0.13</v>
      </c>
      <c r="G8" s="4"/>
      <c r="H8" s="27">
        <v>0.14000000000000001</v>
      </c>
      <c r="I8" s="29"/>
      <c r="J8" s="27">
        <f t="shared" si="0"/>
        <v>3</v>
      </c>
    </row>
    <row r="9" spans="2:10" x14ac:dyDescent="0.15">
      <c r="B9" s="3" t="s">
        <v>51</v>
      </c>
      <c r="C9" s="4"/>
      <c r="D9" s="27">
        <v>0.25</v>
      </c>
      <c r="E9" s="4"/>
      <c r="F9" s="4"/>
      <c r="G9" s="4"/>
      <c r="H9" s="4"/>
      <c r="I9" s="29"/>
      <c r="J9" s="27">
        <f t="shared" si="0"/>
        <v>1</v>
      </c>
    </row>
    <row r="10" spans="2:10" x14ac:dyDescent="0.15">
      <c r="B10" s="3" t="s">
        <v>52</v>
      </c>
      <c r="C10" s="4"/>
      <c r="D10" s="27">
        <v>0.25</v>
      </c>
      <c r="E10" s="27">
        <v>0.05</v>
      </c>
      <c r="F10" s="4"/>
      <c r="G10" s="27">
        <v>0.21</v>
      </c>
      <c r="H10" s="27">
        <v>0.25</v>
      </c>
      <c r="I10" s="29"/>
      <c r="J10" s="27">
        <f t="shared" si="0"/>
        <v>4</v>
      </c>
    </row>
    <row r="11" spans="2:10" x14ac:dyDescent="0.15">
      <c r="B11" s="3" t="s">
        <v>53</v>
      </c>
      <c r="C11" s="4"/>
      <c r="D11" s="4"/>
      <c r="E11" s="27">
        <v>0.1</v>
      </c>
      <c r="F11" s="4"/>
      <c r="G11" s="4"/>
      <c r="H11" s="4"/>
      <c r="I11" s="29"/>
      <c r="J11" s="27">
        <f t="shared" si="0"/>
        <v>1</v>
      </c>
    </row>
    <row r="12" spans="2:10" x14ac:dyDescent="0.15">
      <c r="B12" s="3" t="s">
        <v>54</v>
      </c>
      <c r="C12" s="27">
        <v>0.25</v>
      </c>
      <c r="D12" s="27">
        <v>0.22</v>
      </c>
      <c r="E12" s="4"/>
      <c r="F12" s="4"/>
      <c r="G12" s="27">
        <v>0.11</v>
      </c>
      <c r="H12" s="4"/>
      <c r="I12" s="27">
        <v>0.11</v>
      </c>
      <c r="J12" s="27">
        <f t="shared" si="0"/>
        <v>4</v>
      </c>
    </row>
    <row r="13" spans="2:10" x14ac:dyDescent="0.15">
      <c r="B13" s="3" t="s">
        <v>55</v>
      </c>
      <c r="C13" s="4"/>
      <c r="D13" s="4"/>
      <c r="E13" s="4"/>
      <c r="F13" s="4"/>
      <c r="G13" s="4"/>
      <c r="H13" s="4"/>
      <c r="I13" s="4"/>
      <c r="J13" s="27">
        <f t="shared" si="0"/>
        <v>0</v>
      </c>
    </row>
    <row r="14" spans="2:10" x14ac:dyDescent="0.15">
      <c r="B14" s="3" t="s">
        <v>56</v>
      </c>
      <c r="C14" s="27">
        <v>0.25</v>
      </c>
      <c r="D14" s="4"/>
      <c r="E14" s="4"/>
      <c r="F14" s="27">
        <v>0.25</v>
      </c>
      <c r="G14" s="27">
        <v>0.25</v>
      </c>
      <c r="H14" s="27">
        <v>0.25</v>
      </c>
      <c r="I14" s="4"/>
      <c r="J14" s="27">
        <f t="shared" si="0"/>
        <v>4</v>
      </c>
    </row>
    <row r="15" spans="2:10" x14ac:dyDescent="0.15">
      <c r="B15" s="26" t="s">
        <v>57</v>
      </c>
      <c r="C15" s="4">
        <f>10-COUNTBLANK(C4:C14)</f>
        <v>4</v>
      </c>
      <c r="D15" s="4">
        <f t="shared" ref="D15:F15" si="1">10-COUNTBLANK(D4:D14)</f>
        <v>4</v>
      </c>
      <c r="E15" s="4">
        <f t="shared" si="1"/>
        <v>2</v>
      </c>
      <c r="F15" s="4">
        <f t="shared" si="1"/>
        <v>3</v>
      </c>
      <c r="G15" s="4">
        <f t="shared" ref="G15" si="2">10-COUNTBLANK(G4:G14)</f>
        <v>3</v>
      </c>
      <c r="H15" s="4">
        <f t="shared" ref="H15" si="3">10-COUNTBLANK(H4:H14)</f>
        <v>4</v>
      </c>
      <c r="I15" s="4">
        <f t="shared" ref="I15" si="4">10-COUNTBLANK(I4:I14)</f>
        <v>4</v>
      </c>
      <c r="J15" s="4"/>
    </row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072B-F10B-4ADC-9F5A-09130ADB5119}">
  <dimension ref="B2:E15"/>
  <sheetViews>
    <sheetView workbookViewId="0">
      <selection activeCell="D17" sqref="D17"/>
    </sheetView>
  </sheetViews>
  <sheetFormatPr defaultRowHeight="12.75" x14ac:dyDescent="0.15"/>
  <cols>
    <col min="3" max="3" width="12" style="2" bestFit="1" customWidth="1"/>
    <col min="4" max="4" width="12.13671875" style="2" customWidth="1"/>
    <col min="5" max="5" width="10.11328125" bestFit="1" customWidth="1"/>
  </cols>
  <sheetData>
    <row r="2" spans="2:5" x14ac:dyDescent="0.15">
      <c r="B2" s="52" t="s">
        <v>111</v>
      </c>
      <c r="C2" s="54" t="s">
        <v>109</v>
      </c>
      <c r="D2" s="54" t="s">
        <v>110</v>
      </c>
    </row>
    <row r="3" spans="2:5" x14ac:dyDescent="0.15">
      <c r="B3" s="52" t="s">
        <v>112</v>
      </c>
      <c r="C3" s="55">
        <v>40270</v>
      </c>
      <c r="D3" s="56">
        <f ca="1">C3-TODAY()</f>
        <v>-5737</v>
      </c>
      <c r="E3" s="53"/>
    </row>
    <row r="4" spans="2:5" x14ac:dyDescent="0.15">
      <c r="B4" s="52" t="s">
        <v>113</v>
      </c>
      <c r="C4" s="55">
        <v>40246</v>
      </c>
      <c r="D4" s="56">
        <f t="shared" ref="D4:D13" ca="1" si="0">C4-TODAY()</f>
        <v>-5761</v>
      </c>
      <c r="E4" s="53"/>
    </row>
    <row r="5" spans="2:5" x14ac:dyDescent="0.15">
      <c r="B5" s="52" t="s">
        <v>114</v>
      </c>
      <c r="C5" s="55">
        <v>40242</v>
      </c>
      <c r="D5" s="56">
        <f t="shared" ca="1" si="0"/>
        <v>-5765</v>
      </c>
      <c r="E5" s="53"/>
    </row>
    <row r="6" spans="2:5" x14ac:dyDescent="0.15">
      <c r="B6" s="52" t="s">
        <v>115</v>
      </c>
      <c r="C6" s="55">
        <v>40249</v>
      </c>
      <c r="D6" s="56">
        <f t="shared" ca="1" si="0"/>
        <v>-5758</v>
      </c>
      <c r="E6" s="53"/>
    </row>
    <row r="7" spans="2:5" x14ac:dyDescent="0.15">
      <c r="B7" s="52" t="s">
        <v>116</v>
      </c>
      <c r="C7" s="55">
        <v>40245</v>
      </c>
      <c r="D7" s="56">
        <f t="shared" ca="1" si="0"/>
        <v>-5762</v>
      </c>
      <c r="E7" s="53"/>
    </row>
    <row r="8" spans="2:5" x14ac:dyDescent="0.15">
      <c r="B8" s="52" t="s">
        <v>117</v>
      </c>
      <c r="C8" s="55">
        <v>40252</v>
      </c>
      <c r="D8" s="56">
        <f t="shared" ca="1" si="0"/>
        <v>-5755</v>
      </c>
      <c r="E8" s="53"/>
    </row>
    <row r="9" spans="2:5" x14ac:dyDescent="0.15">
      <c r="B9" s="52" t="s">
        <v>118</v>
      </c>
      <c r="C9" s="55">
        <v>40248</v>
      </c>
      <c r="D9" s="56">
        <f t="shared" ca="1" si="0"/>
        <v>-5759</v>
      </c>
      <c r="E9" s="53"/>
    </row>
    <row r="10" spans="2:5" x14ac:dyDescent="0.15">
      <c r="B10" s="52" t="s">
        <v>119</v>
      </c>
      <c r="C10" s="55">
        <v>40255</v>
      </c>
      <c r="D10" s="56">
        <f t="shared" ca="1" si="0"/>
        <v>-5752</v>
      </c>
      <c r="E10" s="53"/>
    </row>
    <row r="11" spans="2:5" x14ac:dyDescent="0.15">
      <c r="B11" s="52" t="s">
        <v>120</v>
      </c>
      <c r="C11" s="55">
        <v>40251</v>
      </c>
      <c r="D11" s="56">
        <f t="shared" ca="1" si="0"/>
        <v>-5756</v>
      </c>
      <c r="E11" s="53"/>
    </row>
    <row r="12" spans="2:5" x14ac:dyDescent="0.15">
      <c r="B12" s="52" t="s">
        <v>121</v>
      </c>
      <c r="C12" s="55">
        <v>40258</v>
      </c>
      <c r="D12" s="56">
        <f t="shared" ca="1" si="0"/>
        <v>-5749</v>
      </c>
      <c r="E12" s="53"/>
    </row>
    <row r="13" spans="2:5" x14ac:dyDescent="0.15">
      <c r="B13" s="52" t="s">
        <v>122</v>
      </c>
      <c r="C13" s="55">
        <v>40254</v>
      </c>
      <c r="D13" s="56">
        <f t="shared" ca="1" si="0"/>
        <v>-5753</v>
      </c>
      <c r="E13" s="53"/>
    </row>
    <row r="14" spans="2:5" x14ac:dyDescent="0.15">
      <c r="C14" s="55"/>
    </row>
    <row r="15" spans="2:5" x14ac:dyDescent="0.15">
      <c r="C15" s="55"/>
    </row>
  </sheetData>
  <phoneticPr fontId="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6077-8E99-4F46-81A6-77BF69636154}">
  <sheetPr codeName="Arkusz26"/>
  <dimension ref="B2:G15"/>
  <sheetViews>
    <sheetView showGridLines="0" topLeftCell="B1" workbookViewId="0">
      <selection activeCell="H21" sqref="H21"/>
    </sheetView>
  </sheetViews>
  <sheetFormatPr defaultRowHeight="12.75" x14ac:dyDescent="0.15"/>
  <cols>
    <col min="2" max="2" width="10.24609375" bestFit="1" customWidth="1"/>
  </cols>
  <sheetData>
    <row r="2" spans="2:7" x14ac:dyDescent="0.15">
      <c r="F2" s="8" t="s">
        <v>18</v>
      </c>
      <c r="G2" s="8" t="s">
        <v>17</v>
      </c>
    </row>
    <row r="3" spans="2:7" x14ac:dyDescent="0.15">
      <c r="B3" s="3"/>
      <c r="C3" s="3" t="s">
        <v>19</v>
      </c>
      <c r="D3" s="3" t="s">
        <v>20</v>
      </c>
      <c r="E3" s="3" t="s">
        <v>21</v>
      </c>
      <c r="F3" s="9" t="s">
        <v>23</v>
      </c>
      <c r="G3" s="9" t="s">
        <v>22</v>
      </c>
    </row>
    <row r="4" spans="2:7" x14ac:dyDescent="0.15">
      <c r="B4" s="3" t="s">
        <v>24</v>
      </c>
      <c r="C4" s="10">
        <v>26.959147174693694</v>
      </c>
      <c r="D4" s="10">
        <v>83.60567288051341</v>
      </c>
      <c r="E4" s="10">
        <v>76.672599522164205</v>
      </c>
      <c r="F4" s="3" t="b">
        <f>OR(C4&gt;100,D4&gt;100,E4&gt;100)</f>
        <v>0</v>
      </c>
      <c r="G4" s="3" t="b">
        <f>AND(C4 &lt;50,D4&lt;50,E4&lt;50)</f>
        <v>0</v>
      </c>
    </row>
    <row r="5" spans="2:7" x14ac:dyDescent="0.15">
      <c r="B5" s="3" t="s">
        <v>25</v>
      </c>
      <c r="C5" s="10">
        <v>26.625020599525051</v>
      </c>
      <c r="D5" s="10">
        <v>29.686547935526548</v>
      </c>
      <c r="E5" s="10">
        <v>96.94651480620854</v>
      </c>
      <c r="F5" s="3" t="b">
        <f t="shared" ref="F5:F15" si="0">OR(C5&gt;100,D5&gt;100,E5&gt;100)</f>
        <v>0</v>
      </c>
      <c r="G5" s="3" t="b">
        <f t="shared" ref="G5:G15" si="1">AND(C5 &lt;50,D5&lt;50,E5&lt;50)</f>
        <v>0</v>
      </c>
    </row>
    <row r="6" spans="2:7" x14ac:dyDescent="0.15">
      <c r="B6" s="3" t="s">
        <v>26</v>
      </c>
      <c r="C6" s="10">
        <v>57.081151774040833</v>
      </c>
      <c r="D6" s="10">
        <v>99.350812855059715</v>
      </c>
      <c r="E6" s="10">
        <v>29.692289541425456</v>
      </c>
      <c r="F6" s="3" t="b">
        <f t="shared" si="0"/>
        <v>0</v>
      </c>
      <c r="G6" s="3" t="b">
        <f t="shared" si="1"/>
        <v>0</v>
      </c>
    </row>
    <row r="7" spans="2:7" x14ac:dyDescent="0.15">
      <c r="B7" s="3" t="s">
        <v>27</v>
      </c>
      <c r="C7" s="10">
        <v>33.334826339405133</v>
      </c>
      <c r="D7" s="10">
        <v>46.688719297828207</v>
      </c>
      <c r="E7" s="10">
        <v>35.271463970823788</v>
      </c>
      <c r="F7" s="3" t="b">
        <f t="shared" si="0"/>
        <v>0</v>
      </c>
      <c r="G7" s="3" t="b">
        <f t="shared" si="1"/>
        <v>1</v>
      </c>
    </row>
    <row r="8" spans="2:7" x14ac:dyDescent="0.15">
      <c r="B8" s="3" t="s">
        <v>28</v>
      </c>
      <c r="C8" s="10">
        <v>106.40689746040705</v>
      </c>
      <c r="D8" s="10">
        <v>87.499198657621548</v>
      </c>
      <c r="E8" s="10">
        <v>34.989256501294008</v>
      </c>
      <c r="F8" s="3" t="b">
        <f t="shared" si="0"/>
        <v>1</v>
      </c>
      <c r="G8" s="3" t="b">
        <f t="shared" si="1"/>
        <v>0</v>
      </c>
    </row>
    <row r="9" spans="2:7" x14ac:dyDescent="0.15">
      <c r="B9" s="3" t="s">
        <v>29</v>
      </c>
      <c r="C9" s="10">
        <v>94.847339208454699</v>
      </c>
      <c r="D9" s="10">
        <v>81.077606233647998</v>
      </c>
      <c r="E9" s="10">
        <v>88.530060657059337</v>
      </c>
      <c r="F9" s="3" t="b">
        <f t="shared" si="0"/>
        <v>0</v>
      </c>
      <c r="G9" s="3" t="b">
        <f t="shared" si="1"/>
        <v>0</v>
      </c>
    </row>
    <row r="10" spans="2:7" x14ac:dyDescent="0.15">
      <c r="B10" s="3" t="s">
        <v>30</v>
      </c>
      <c r="C10" s="10">
        <v>79.084952979752188</v>
      </c>
      <c r="D10" s="10">
        <v>78.682454146170357</v>
      </c>
      <c r="E10" s="10">
        <v>85.741409539080877</v>
      </c>
      <c r="F10" s="3" t="b">
        <f t="shared" si="0"/>
        <v>0</v>
      </c>
      <c r="G10" s="3" t="b">
        <f t="shared" si="1"/>
        <v>0</v>
      </c>
    </row>
    <row r="11" spans="2:7" x14ac:dyDescent="0.15">
      <c r="B11" s="3" t="s">
        <v>31</v>
      </c>
      <c r="C11" s="10">
        <v>51.742323313360927</v>
      </c>
      <c r="D11" s="10">
        <v>106.71650051766673</v>
      </c>
      <c r="E11" s="10">
        <v>8.1108240048926916</v>
      </c>
      <c r="F11" s="3" t="b">
        <f t="shared" si="0"/>
        <v>1</v>
      </c>
      <c r="G11" s="3" t="b">
        <f t="shared" si="1"/>
        <v>0</v>
      </c>
    </row>
    <row r="12" spans="2:7" x14ac:dyDescent="0.15">
      <c r="B12" s="3" t="s">
        <v>32</v>
      </c>
      <c r="C12" s="10">
        <v>1.7617920511243867</v>
      </c>
      <c r="D12" s="10">
        <v>47.918974092602255</v>
      </c>
      <c r="E12" s="10">
        <v>117.60380344677404</v>
      </c>
      <c r="F12" s="3" t="b">
        <f t="shared" si="0"/>
        <v>1</v>
      </c>
      <c r="G12" s="3" t="b">
        <f t="shared" si="1"/>
        <v>0</v>
      </c>
    </row>
    <row r="13" spans="2:7" x14ac:dyDescent="0.15">
      <c r="B13" s="3" t="s">
        <v>33</v>
      </c>
      <c r="C13" s="10">
        <v>12.312890767803921</v>
      </c>
      <c r="D13" s="10">
        <v>110.25947060231032</v>
      </c>
      <c r="E13" s="10">
        <v>3.6200252896628982</v>
      </c>
      <c r="F13" s="3" t="b">
        <f t="shared" si="0"/>
        <v>1</v>
      </c>
      <c r="G13" s="3" t="b">
        <f t="shared" si="1"/>
        <v>0</v>
      </c>
    </row>
    <row r="14" spans="2:7" x14ac:dyDescent="0.15">
      <c r="B14" s="3" t="s">
        <v>34</v>
      </c>
      <c r="C14" s="10">
        <v>57.627609779322832</v>
      </c>
      <c r="D14" s="10">
        <v>66.114882729516879</v>
      </c>
      <c r="E14" s="10">
        <v>19.622526585229938</v>
      </c>
      <c r="F14" s="3" t="b">
        <f t="shared" si="0"/>
        <v>0</v>
      </c>
      <c r="G14" s="3" t="b">
        <f t="shared" si="1"/>
        <v>0</v>
      </c>
    </row>
    <row r="15" spans="2:7" x14ac:dyDescent="0.15">
      <c r="B15" s="3" t="s">
        <v>35</v>
      </c>
      <c r="C15" s="10">
        <v>18.192833543220893</v>
      </c>
      <c r="D15" s="10">
        <v>17.177467972402916</v>
      </c>
      <c r="E15" s="10">
        <v>5.2721969690337556</v>
      </c>
      <c r="F15" s="3" t="b">
        <f t="shared" si="0"/>
        <v>0</v>
      </c>
      <c r="G15" s="3" t="b">
        <f t="shared" si="1"/>
        <v>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97E8-22E6-4626-918B-A6E723A3E212}">
  <dimension ref="B2:H20"/>
  <sheetViews>
    <sheetView showGridLines="0" workbookViewId="0">
      <selection activeCell="E27" sqref="E27"/>
    </sheetView>
  </sheetViews>
  <sheetFormatPr defaultRowHeight="12.75" x14ac:dyDescent="0.15"/>
  <cols>
    <col min="2" max="2" width="12.5390625" customWidth="1"/>
    <col min="3" max="3" width="12.67578125" style="2" customWidth="1"/>
    <col min="4" max="4" width="12.40625" customWidth="1"/>
  </cols>
  <sheetData>
    <row r="2" spans="2:3" x14ac:dyDescent="0.15">
      <c r="B2" s="7" t="s">
        <v>4</v>
      </c>
      <c r="C2" s="57" t="s">
        <v>5</v>
      </c>
    </row>
    <row r="3" spans="2:3" x14ac:dyDescent="0.15">
      <c r="B3" s="3" t="s">
        <v>6</v>
      </c>
      <c r="C3" s="4" t="b">
        <f>NOT(RIGHT(B3,1)="a")</f>
        <v>0</v>
      </c>
    </row>
    <row r="4" spans="2:3" x14ac:dyDescent="0.15">
      <c r="B4" s="3" t="s">
        <v>7</v>
      </c>
      <c r="C4" s="4" t="b">
        <f t="shared" ref="C4:C13" si="0">NOT(RIGHT(B4,1)="a")</f>
        <v>1</v>
      </c>
    </row>
    <row r="5" spans="2:3" x14ac:dyDescent="0.15">
      <c r="B5" s="3" t="s">
        <v>8</v>
      </c>
      <c r="C5" s="4" t="b">
        <f t="shared" si="0"/>
        <v>0</v>
      </c>
    </row>
    <row r="6" spans="2:3" x14ac:dyDescent="0.15">
      <c r="B6" s="3" t="s">
        <v>9</v>
      </c>
      <c r="C6" s="4" t="b">
        <f t="shared" si="0"/>
        <v>0</v>
      </c>
    </row>
    <row r="7" spans="2:3" x14ac:dyDescent="0.15">
      <c r="B7" s="3" t="s">
        <v>10</v>
      </c>
      <c r="C7" s="4" t="b">
        <f t="shared" si="0"/>
        <v>1</v>
      </c>
    </row>
    <row r="8" spans="2:3" x14ac:dyDescent="0.15">
      <c r="B8" s="3" t="s">
        <v>11</v>
      </c>
      <c r="C8" s="4" t="b">
        <f t="shared" si="0"/>
        <v>0</v>
      </c>
    </row>
    <row r="9" spans="2:3" x14ac:dyDescent="0.15">
      <c r="B9" s="3" t="s">
        <v>12</v>
      </c>
      <c r="C9" s="4" t="b">
        <f t="shared" si="0"/>
        <v>1</v>
      </c>
    </row>
    <row r="10" spans="2:3" x14ac:dyDescent="0.15">
      <c r="B10" s="3" t="s">
        <v>13</v>
      </c>
      <c r="C10" s="4" t="b">
        <f t="shared" si="0"/>
        <v>1</v>
      </c>
    </row>
    <row r="11" spans="2:3" x14ac:dyDescent="0.15">
      <c r="B11" s="3" t="s">
        <v>14</v>
      </c>
      <c r="C11" s="4" t="b">
        <f t="shared" si="0"/>
        <v>0</v>
      </c>
    </row>
    <row r="12" spans="2:3" x14ac:dyDescent="0.15">
      <c r="B12" s="3" t="s">
        <v>15</v>
      </c>
      <c r="C12" s="4" t="b">
        <f t="shared" si="0"/>
        <v>0</v>
      </c>
    </row>
    <row r="13" spans="2:3" x14ac:dyDescent="0.15">
      <c r="B13" s="3" t="s">
        <v>16</v>
      </c>
      <c r="C13" s="4" t="b">
        <f t="shared" si="0"/>
        <v>0</v>
      </c>
    </row>
    <row r="20" spans="8:8" x14ac:dyDescent="0.15">
      <c r="H20" t="s">
        <v>44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0C8A-57D2-4E25-83FF-1CEBD86C0558}">
  <sheetPr codeName="Arkusz25"/>
  <dimension ref="B3:I5"/>
  <sheetViews>
    <sheetView showGridLines="0" topLeftCell="B1" workbookViewId="0">
      <selection activeCell="G4" sqref="G4"/>
    </sheetView>
  </sheetViews>
  <sheetFormatPr defaultRowHeight="12.75" x14ac:dyDescent="0.15"/>
  <cols>
    <col min="3" max="3" width="9.57421875" bestFit="1" customWidth="1"/>
  </cols>
  <sheetData>
    <row r="3" spans="2:9" x14ac:dyDescent="0.15">
      <c r="B3" s="7"/>
      <c r="C3" s="58" t="s">
        <v>123</v>
      </c>
      <c r="D3" s="58" t="s">
        <v>124</v>
      </c>
      <c r="E3" s="58" t="s">
        <v>125</v>
      </c>
      <c r="F3" s="58" t="s">
        <v>126</v>
      </c>
      <c r="G3" s="57" t="s">
        <v>36</v>
      </c>
    </row>
    <row r="4" spans="2:9" x14ac:dyDescent="0.15">
      <c r="B4" s="58" t="s">
        <v>127</v>
      </c>
      <c r="C4" s="11">
        <v>0.26153883581133691</v>
      </c>
      <c r="D4" s="11">
        <v>0.3276523177258624</v>
      </c>
      <c r="E4" s="11">
        <v>0.44190259625194722</v>
      </c>
      <c r="F4" s="11">
        <v>0.31679139563011277</v>
      </c>
      <c r="G4" s="11">
        <f>SUMPRODUCT(C4:F4)</f>
        <v>1.3478851454192593</v>
      </c>
      <c r="I4" s="59">
        <f>(C4*C5+D4*D5+E4*E5+F4*F5)/G5</f>
        <v>0.32011765333361292</v>
      </c>
    </row>
    <row r="5" spans="2:9" x14ac:dyDescent="0.15">
      <c r="B5" s="58" t="s">
        <v>75</v>
      </c>
      <c r="C5" s="12">
        <v>391.69322237973159</v>
      </c>
      <c r="D5" s="12">
        <v>517.24943298095559</v>
      </c>
      <c r="E5" s="12">
        <v>178.2633864264842</v>
      </c>
      <c r="F5" s="12">
        <v>800.35032272912645</v>
      </c>
      <c r="G5" s="12">
        <f>SUM(C5:F5)</f>
        <v>1887.5563645162979</v>
      </c>
    </row>
  </sheetData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FC14-EDAC-4D8A-B3BC-167388C85BB0}">
  <sheetPr codeName="Arkusz22"/>
  <dimension ref="B1:H33"/>
  <sheetViews>
    <sheetView showGridLines="0" topLeftCell="E1" workbookViewId="0">
      <selection activeCell="J17" sqref="J17"/>
    </sheetView>
  </sheetViews>
  <sheetFormatPr defaultRowHeight="12.75" x14ac:dyDescent="0.15"/>
  <cols>
    <col min="2" max="2" width="35.46484375" customWidth="1"/>
    <col min="3" max="3" width="11.59375" customWidth="1"/>
    <col min="4" max="4" width="9.70703125" bestFit="1" customWidth="1"/>
    <col min="5" max="5" width="11.32421875" customWidth="1"/>
    <col min="6" max="6" width="14.29296875" bestFit="1" customWidth="1"/>
    <col min="7" max="7" width="11.32421875" bestFit="1" customWidth="1"/>
    <col min="8" max="8" width="23.328125" bestFit="1" customWidth="1"/>
    <col min="10" max="10" width="10.24609375" bestFit="1" customWidth="1"/>
    <col min="11" max="11" width="14.83203125" bestFit="1" customWidth="1"/>
  </cols>
  <sheetData>
    <row r="1" spans="2:8" ht="13.5" thickBot="1" x14ac:dyDescent="0.2"/>
    <row r="2" spans="2:8" x14ac:dyDescent="0.15">
      <c r="B2" s="122"/>
      <c r="C2" s="15"/>
      <c r="D2" s="121" t="s">
        <v>37</v>
      </c>
      <c r="E2" s="121"/>
      <c r="F2" s="121"/>
    </row>
    <row r="3" spans="2:8" ht="13.5" thickBot="1" x14ac:dyDescent="0.2">
      <c r="B3" s="123"/>
      <c r="C3" s="16" t="s">
        <v>39</v>
      </c>
      <c r="D3" s="17" t="s">
        <v>40</v>
      </c>
      <c r="E3" s="18">
        <v>39326</v>
      </c>
      <c r="F3" s="18">
        <v>39417</v>
      </c>
    </row>
    <row r="4" spans="2:8" x14ac:dyDescent="0.15">
      <c r="B4" s="19" t="s">
        <v>41</v>
      </c>
      <c r="C4" s="74"/>
      <c r="D4" s="20">
        <v>16.214953577450089</v>
      </c>
      <c r="E4" s="20">
        <v>16.524406526433392</v>
      </c>
      <c r="F4" s="20">
        <v>16.35575200234987</v>
      </c>
    </row>
    <row r="5" spans="2:8" x14ac:dyDescent="0.15">
      <c r="B5" s="21" t="s">
        <v>42</v>
      </c>
      <c r="C5" s="75"/>
      <c r="D5" s="22">
        <v>19.139223573313526</v>
      </c>
      <c r="E5" s="22">
        <v>19.940789385980999</v>
      </c>
      <c r="F5" s="22">
        <v>20.915213719371923</v>
      </c>
    </row>
    <row r="6" spans="2:8" x14ac:dyDescent="0.15">
      <c r="B6" s="21" t="s">
        <v>43</v>
      </c>
      <c r="C6" s="76"/>
      <c r="D6" s="22">
        <v>12.868683756068743</v>
      </c>
      <c r="E6" s="22">
        <v>12.868295975829941</v>
      </c>
      <c r="F6" s="22">
        <v>12.746105625860398</v>
      </c>
    </row>
    <row r="7" spans="2:8" ht="13.5" thickBot="1" x14ac:dyDescent="0.2">
      <c r="B7" s="23" t="s">
        <v>38</v>
      </c>
      <c r="C7" s="61" t="s">
        <v>38</v>
      </c>
      <c r="D7" s="24" t="s">
        <v>38</v>
      </c>
      <c r="E7" s="24" t="s">
        <v>38</v>
      </c>
      <c r="F7" s="24" t="s">
        <v>38</v>
      </c>
    </row>
    <row r="9" spans="2:8" ht="13.5" thickBot="1" x14ac:dyDescent="0.2"/>
    <row r="10" spans="2:8" ht="13.5" thickBot="1" x14ac:dyDescent="0.2">
      <c r="B10" s="77" t="s">
        <v>159</v>
      </c>
      <c r="C10" s="78" t="s">
        <v>61</v>
      </c>
      <c r="D10" s="78" t="s">
        <v>160</v>
      </c>
      <c r="E10" s="78" t="s">
        <v>161</v>
      </c>
      <c r="F10" s="79" t="s">
        <v>162</v>
      </c>
      <c r="G10" s="78" t="s">
        <v>163</v>
      </c>
      <c r="H10" s="80" t="s">
        <v>164</v>
      </c>
    </row>
    <row r="11" spans="2:8" x14ac:dyDescent="0.15">
      <c r="B11" s="81" t="s">
        <v>165</v>
      </c>
      <c r="C11" s="82" t="str">
        <f>RIGHT(B11,4)</f>
        <v>2009</v>
      </c>
      <c r="D11" s="97" t="str">
        <f>MID(B11,4,2)</f>
        <v>12</v>
      </c>
      <c r="E11" s="97" t="str">
        <f>LEFT(B11,2)</f>
        <v>12</v>
      </c>
      <c r="F11" s="98">
        <f>DATE(C11,D11,E11)</f>
        <v>40159</v>
      </c>
      <c r="G11" s="99"/>
      <c r="H11" s="120">
        <f>DATE(RIGHT(B11,4),MID(B11,4,2),LEFT(B11,2))</f>
        <v>40159</v>
      </c>
    </row>
    <row r="12" spans="2:8" x14ac:dyDescent="0.15">
      <c r="B12" s="83" t="s">
        <v>166</v>
      </c>
      <c r="C12" s="82" t="str">
        <f t="shared" ref="C12:C14" si="0">RIGHT(B12,4)</f>
        <v>2009</v>
      </c>
      <c r="D12" s="97" t="str">
        <f t="shared" ref="D12:D14" si="1">MID(B12,4,2)</f>
        <v>06</v>
      </c>
      <c r="E12" s="97" t="str">
        <f t="shared" ref="E12:E14" si="2">LEFT(B12,2)</f>
        <v>03</v>
      </c>
      <c r="F12" s="98">
        <f t="shared" ref="F12:F14" si="3">DATE(C12,D12,E12)</f>
        <v>39967</v>
      </c>
      <c r="G12" s="84"/>
      <c r="H12" s="120">
        <f t="shared" ref="H12:H14" si="4">DATE(RIGHT(B12,4),MID(B12,4,2),LEFT(B12,2))</f>
        <v>39967</v>
      </c>
    </row>
    <row r="13" spans="2:8" x14ac:dyDescent="0.15">
      <c r="B13" s="83" t="s">
        <v>167</v>
      </c>
      <c r="C13" s="82" t="str">
        <f t="shared" si="0"/>
        <v>2008</v>
      </c>
      <c r="D13" s="97" t="str">
        <f t="shared" si="1"/>
        <v>04</v>
      </c>
      <c r="E13" s="97" t="str">
        <f t="shared" si="2"/>
        <v>02</v>
      </c>
      <c r="F13" s="98">
        <f t="shared" si="3"/>
        <v>39540</v>
      </c>
      <c r="G13" s="84"/>
      <c r="H13" s="120">
        <f t="shared" si="4"/>
        <v>39540</v>
      </c>
    </row>
    <row r="14" spans="2:8" ht="13.5" thickBot="1" x14ac:dyDescent="0.2">
      <c r="B14" s="85" t="s">
        <v>168</v>
      </c>
      <c r="C14" s="82" t="str">
        <f t="shared" si="0"/>
        <v>2007</v>
      </c>
      <c r="D14" s="97" t="str">
        <f t="shared" si="1"/>
        <v>12</v>
      </c>
      <c r="E14" s="97" t="str">
        <f t="shared" si="2"/>
        <v>30</v>
      </c>
      <c r="F14" s="98">
        <f t="shared" si="3"/>
        <v>39446</v>
      </c>
      <c r="G14" s="86"/>
      <c r="H14" s="120">
        <f t="shared" si="4"/>
        <v>39446</v>
      </c>
    </row>
    <row r="16" spans="2:8" ht="13.5" thickBot="1" x14ac:dyDescent="0.2">
      <c r="G16" t="s">
        <v>180</v>
      </c>
    </row>
    <row r="17" spans="2:8" ht="13.5" thickBot="1" x14ac:dyDescent="0.2">
      <c r="B17" s="77" t="s">
        <v>169</v>
      </c>
      <c r="C17" s="78" t="s">
        <v>170</v>
      </c>
      <c r="D17" s="78" t="s">
        <v>171</v>
      </c>
      <c r="E17" s="78" t="s">
        <v>172</v>
      </c>
      <c r="F17" s="79" t="s">
        <v>173</v>
      </c>
      <c r="G17" s="78" t="s">
        <v>172</v>
      </c>
      <c r="H17" s="80" t="s">
        <v>173</v>
      </c>
    </row>
    <row r="18" spans="2:8" x14ac:dyDescent="0.15">
      <c r="B18" s="87" t="s">
        <v>174</v>
      </c>
      <c r="C18" s="97">
        <f t="shared" ref="C18:C23" si="5">SEARCH(" ",B18)</f>
        <v>7</v>
      </c>
      <c r="D18" s="97">
        <f t="shared" ref="D18:D23" si="6">LEN(B18)</f>
        <v>18</v>
      </c>
      <c r="E18" s="100" t="str">
        <f t="shared" ref="E18:E23" si="7">LEFT(B18,C18-1)</f>
        <v>Witold</v>
      </c>
      <c r="F18" s="101" t="str">
        <f t="shared" ref="F18:F23" si="8">RIGHT(B18,D18-C18)</f>
        <v>Tomeszewski</v>
      </c>
      <c r="G18" s="102" t="str">
        <f t="shared" ref="G18:G23" si="9">MID(B18,1,C18-1)</f>
        <v>Witold</v>
      </c>
      <c r="H18" s="103" t="str">
        <f t="shared" ref="H18:H23" si="10">MID(B18,C18+1,99)</f>
        <v>Tomeszewski</v>
      </c>
    </row>
    <row r="19" spans="2:8" x14ac:dyDescent="0.15">
      <c r="B19" s="88" t="s">
        <v>175</v>
      </c>
      <c r="C19" s="104">
        <f t="shared" si="5"/>
        <v>11</v>
      </c>
      <c r="D19" s="104">
        <f t="shared" si="6"/>
        <v>19</v>
      </c>
      <c r="E19" s="105" t="str">
        <f t="shared" si="7"/>
        <v>Aleksander</v>
      </c>
      <c r="F19" s="106" t="str">
        <f t="shared" si="8"/>
        <v>Walewski</v>
      </c>
      <c r="G19" s="107" t="str">
        <f t="shared" si="9"/>
        <v>Aleksander</v>
      </c>
      <c r="H19" s="108" t="str">
        <f t="shared" si="10"/>
        <v>Walewski</v>
      </c>
    </row>
    <row r="20" spans="2:8" x14ac:dyDescent="0.15">
      <c r="B20" s="88" t="s">
        <v>186</v>
      </c>
      <c r="C20" s="104">
        <f t="shared" si="5"/>
        <v>6</v>
      </c>
      <c r="D20" s="104">
        <f t="shared" si="6"/>
        <v>20</v>
      </c>
      <c r="E20" s="105" t="str">
        <f t="shared" si="7"/>
        <v>Marta</v>
      </c>
      <c r="F20" s="106" t="str">
        <f t="shared" si="8"/>
        <v>Grzybowka-Bura</v>
      </c>
      <c r="G20" s="107" t="str">
        <f t="shared" si="9"/>
        <v>Marta</v>
      </c>
      <c r="H20" s="108" t="str">
        <f t="shared" si="10"/>
        <v>Grzybowka-Bura</v>
      </c>
    </row>
    <row r="21" spans="2:8" x14ac:dyDescent="0.15">
      <c r="B21" s="88" t="s">
        <v>176</v>
      </c>
      <c r="C21" s="104">
        <f t="shared" si="5"/>
        <v>7</v>
      </c>
      <c r="D21" s="104">
        <f t="shared" si="6"/>
        <v>15</v>
      </c>
      <c r="E21" s="105" t="str">
        <f t="shared" si="7"/>
        <v>Witold</v>
      </c>
      <c r="F21" s="106" t="str">
        <f t="shared" si="8"/>
        <v>Kurowski</v>
      </c>
      <c r="G21" s="107" t="str">
        <f t="shared" si="9"/>
        <v>Witold</v>
      </c>
      <c r="H21" s="108" t="str">
        <f t="shared" si="10"/>
        <v>Kurowski</v>
      </c>
    </row>
    <row r="22" spans="2:8" x14ac:dyDescent="0.15">
      <c r="B22" s="88" t="s">
        <v>177</v>
      </c>
      <c r="C22" s="104">
        <f t="shared" si="5"/>
        <v>7</v>
      </c>
      <c r="D22" s="104">
        <f t="shared" si="6"/>
        <v>16</v>
      </c>
      <c r="E22" s="105" t="str">
        <f t="shared" si="7"/>
        <v>Michał</v>
      </c>
      <c r="F22" s="106" t="str">
        <f t="shared" si="8"/>
        <v>Kaczyński</v>
      </c>
      <c r="G22" s="107" t="str">
        <f t="shared" si="9"/>
        <v>Michał</v>
      </c>
      <c r="H22" s="108" t="str">
        <f t="shared" si="10"/>
        <v>Kaczyński</v>
      </c>
    </row>
    <row r="23" spans="2:8" ht="13.5" thickBot="1" x14ac:dyDescent="0.2">
      <c r="B23" s="89" t="s">
        <v>179</v>
      </c>
      <c r="C23" s="109">
        <f t="shared" si="5"/>
        <v>6</v>
      </c>
      <c r="D23" s="109">
        <f t="shared" si="6"/>
        <v>14</v>
      </c>
      <c r="E23" s="110" t="str">
        <f t="shared" si="7"/>
        <v>Paweł</v>
      </c>
      <c r="F23" s="111" t="str">
        <f t="shared" si="8"/>
        <v>Kurowski</v>
      </c>
      <c r="G23" s="112" t="str">
        <f t="shared" si="9"/>
        <v>Paweł</v>
      </c>
      <c r="H23" s="113" t="str">
        <f t="shared" si="10"/>
        <v>Kurowski</v>
      </c>
    </row>
    <row r="25" spans="2:8" ht="13.5" thickBot="1" x14ac:dyDescent="0.2"/>
    <row r="26" spans="2:8" s="92" customFormat="1" ht="28.5" customHeight="1" thickBot="1" x14ac:dyDescent="0.2">
      <c r="B26" s="90" t="s">
        <v>187</v>
      </c>
      <c r="C26" s="91" t="s">
        <v>183</v>
      </c>
      <c r="D26" s="91" t="s">
        <v>184</v>
      </c>
      <c r="E26" s="91" t="s">
        <v>190</v>
      </c>
      <c r="F26" s="93" t="s">
        <v>188</v>
      </c>
      <c r="G26" s="94" t="s">
        <v>189</v>
      </c>
      <c r="H26" s="95" t="s">
        <v>173</v>
      </c>
    </row>
    <row r="27" spans="2:8" x14ac:dyDescent="0.15">
      <c r="B27" s="87" t="s">
        <v>181</v>
      </c>
      <c r="C27" s="97">
        <f t="shared" ref="C27:C32" si="11">SEARCH(" ",B27)</f>
        <v>7</v>
      </c>
      <c r="D27" s="97">
        <f t="shared" ref="D27:D32" si="12">SEARCH(" ",B27,C27+1)</f>
        <v>14</v>
      </c>
      <c r="E27" s="97" t="b">
        <f t="shared" ref="E27:E32" si="13">ISERROR(D27)</f>
        <v>0</v>
      </c>
      <c r="F27" s="101" t="str">
        <f t="shared" ref="F27:F32" si="14">LEFT(B27,C27-1)</f>
        <v>Wacław</v>
      </c>
      <c r="G27" s="114" t="str">
        <f t="shared" ref="G27:G32" si="15">IF(E27,"",MID(B27,C27+1,D27-C27-1))</f>
        <v>Antoni</v>
      </c>
      <c r="H27" s="115" t="str">
        <f t="shared" ref="H27:H32" si="16">MID(B27,IF(E27,C27,D27)+1,99)</f>
        <v>Borkowski</v>
      </c>
    </row>
    <row r="28" spans="2:8" x14ac:dyDescent="0.15">
      <c r="B28" s="88" t="s">
        <v>177</v>
      </c>
      <c r="C28" s="104">
        <f t="shared" si="11"/>
        <v>7</v>
      </c>
      <c r="D28" s="104" t="e">
        <f t="shared" si="12"/>
        <v>#VALUE!</v>
      </c>
      <c r="E28" s="104" t="b">
        <f t="shared" si="13"/>
        <v>1</v>
      </c>
      <c r="F28" s="106" t="str">
        <f t="shared" si="14"/>
        <v>Michał</v>
      </c>
      <c r="G28" s="116" t="str">
        <f t="shared" si="15"/>
        <v/>
      </c>
      <c r="H28" s="118" t="str">
        <f t="shared" si="16"/>
        <v>Kaczyński</v>
      </c>
    </row>
    <row r="29" spans="2:8" x14ac:dyDescent="0.15">
      <c r="B29" s="88" t="s">
        <v>185</v>
      </c>
      <c r="C29" s="104">
        <f t="shared" si="11"/>
        <v>6</v>
      </c>
      <c r="D29" s="104" t="e">
        <f t="shared" si="12"/>
        <v>#VALUE!</v>
      </c>
      <c r="E29" s="104" t="b">
        <f t="shared" si="13"/>
        <v>1</v>
      </c>
      <c r="F29" s="106" t="str">
        <f t="shared" si="14"/>
        <v>Łucja</v>
      </c>
      <c r="G29" s="116" t="str">
        <f t="shared" si="15"/>
        <v/>
      </c>
      <c r="H29" s="118" t="str">
        <f t="shared" si="16"/>
        <v>Kosowska-Borkowska</v>
      </c>
    </row>
    <row r="30" spans="2:8" x14ac:dyDescent="0.15">
      <c r="B30" s="88" t="s">
        <v>178</v>
      </c>
      <c r="C30" s="104">
        <f t="shared" si="11"/>
        <v>7</v>
      </c>
      <c r="D30" s="104" t="e">
        <f t="shared" si="12"/>
        <v>#VALUE!</v>
      </c>
      <c r="E30" s="104" t="b">
        <f t="shared" si="13"/>
        <v>1</v>
      </c>
      <c r="F30" s="106" t="str">
        <f t="shared" si="14"/>
        <v>Wacław</v>
      </c>
      <c r="G30" s="116" t="str">
        <f t="shared" si="15"/>
        <v/>
      </c>
      <c r="H30" s="118" t="str">
        <f t="shared" si="16"/>
        <v>Borkowski</v>
      </c>
    </row>
    <row r="31" spans="2:8" x14ac:dyDescent="0.15">
      <c r="B31" s="88" t="s">
        <v>182</v>
      </c>
      <c r="C31" s="104">
        <f t="shared" si="11"/>
        <v>8</v>
      </c>
      <c r="D31" s="104">
        <f t="shared" si="12"/>
        <v>15</v>
      </c>
      <c r="E31" s="104" t="b">
        <f t="shared" si="13"/>
        <v>0</v>
      </c>
      <c r="F31" s="106" t="str">
        <f t="shared" si="14"/>
        <v>Wiesław</v>
      </c>
      <c r="G31" s="116" t="str">
        <f t="shared" si="15"/>
        <v>Michał</v>
      </c>
      <c r="H31" s="118" t="str">
        <f t="shared" si="16"/>
        <v>Kaczyński</v>
      </c>
    </row>
    <row r="32" spans="2:8" ht="13.5" thickBot="1" x14ac:dyDescent="0.2">
      <c r="B32" s="89" t="s">
        <v>179</v>
      </c>
      <c r="C32" s="109">
        <f t="shared" si="11"/>
        <v>6</v>
      </c>
      <c r="D32" s="109" t="e">
        <f t="shared" si="12"/>
        <v>#VALUE!</v>
      </c>
      <c r="E32" s="109" t="b">
        <f t="shared" si="13"/>
        <v>1</v>
      </c>
      <c r="F32" s="111" t="str">
        <f t="shared" si="14"/>
        <v>Paweł</v>
      </c>
      <c r="G32" s="117" t="str">
        <f t="shared" si="15"/>
        <v/>
      </c>
      <c r="H32" s="119" t="str">
        <f t="shared" si="16"/>
        <v>Kurowski</v>
      </c>
    </row>
    <row r="33" spans="3:8" x14ac:dyDescent="0.15">
      <c r="C33" s="96"/>
      <c r="D33" s="96"/>
      <c r="E33" s="96"/>
      <c r="F33" s="96"/>
      <c r="G33" s="96"/>
      <c r="H33" s="96"/>
    </row>
  </sheetData>
  <mergeCells count="2">
    <mergeCell ref="D2:F2"/>
    <mergeCell ref="B2:B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645-D924-490F-888C-5EE072BCE55F}">
  <dimension ref="B2:H19"/>
  <sheetViews>
    <sheetView showGridLines="0" workbookViewId="0">
      <selection activeCell="D20" sqref="D20"/>
    </sheetView>
  </sheetViews>
  <sheetFormatPr defaultRowHeight="12.75" x14ac:dyDescent="0.15"/>
  <cols>
    <col min="2" max="2" width="12.67578125" customWidth="1"/>
    <col min="3" max="3" width="9.84375" bestFit="1" customWidth="1"/>
  </cols>
  <sheetData>
    <row r="2" spans="2:8" x14ac:dyDescent="0.15">
      <c r="B2" s="124"/>
      <c r="C2" s="125" t="s">
        <v>140</v>
      </c>
      <c r="D2" s="124"/>
      <c r="F2" s="124"/>
      <c r="G2" s="125" t="s">
        <v>141</v>
      </c>
      <c r="H2" s="124"/>
    </row>
    <row r="3" spans="2:8" x14ac:dyDescent="0.15">
      <c r="B3" s="124"/>
      <c r="C3" s="60" t="s">
        <v>134</v>
      </c>
      <c r="D3" s="60" t="s">
        <v>135</v>
      </c>
      <c r="F3" s="124"/>
      <c r="G3" s="60" t="s">
        <v>134</v>
      </c>
      <c r="H3" s="60" t="s">
        <v>135</v>
      </c>
    </row>
    <row r="4" spans="2:8" x14ac:dyDescent="0.15">
      <c r="B4" s="7" t="s">
        <v>130</v>
      </c>
      <c r="C4" s="12">
        <v>3747.2188738935261</v>
      </c>
      <c r="D4" s="12">
        <v>3409.969175243109</v>
      </c>
      <c r="F4" s="7" t="s">
        <v>130</v>
      </c>
      <c r="G4" s="12">
        <v>3309.8964559644751</v>
      </c>
      <c r="H4" s="12">
        <v>2126.5094178041568</v>
      </c>
    </row>
    <row r="5" spans="2:8" x14ac:dyDescent="0.15">
      <c r="B5" s="7" t="s">
        <v>131</v>
      </c>
      <c r="C5" s="62">
        <v>0.36567929668443644</v>
      </c>
      <c r="D5" s="62">
        <v>0.33276815998283715</v>
      </c>
      <c r="F5" s="7" t="s">
        <v>131</v>
      </c>
      <c r="G5" s="62">
        <v>0.31056165509736477</v>
      </c>
      <c r="H5" s="62">
        <v>0.3101124392076296</v>
      </c>
    </row>
    <row r="6" spans="2:8" x14ac:dyDescent="0.15">
      <c r="B6" s="7" t="s">
        <v>132</v>
      </c>
      <c r="C6" s="63">
        <v>2.217694829243956</v>
      </c>
      <c r="D6" s="63">
        <v>2.018102294612</v>
      </c>
      <c r="F6" s="7" t="s">
        <v>132</v>
      </c>
      <c r="G6" s="63">
        <v>2.5391814644306132</v>
      </c>
      <c r="H6" s="63">
        <v>2.4026284249997474</v>
      </c>
    </row>
    <row r="7" spans="2:8" x14ac:dyDescent="0.15">
      <c r="B7" s="7" t="s">
        <v>133</v>
      </c>
      <c r="C7" s="12">
        <v>1689.6909459679837</v>
      </c>
      <c r="D7" s="12">
        <v>1689.6909459679839</v>
      </c>
      <c r="F7" s="7" t="s">
        <v>133</v>
      </c>
      <c r="G7" s="12">
        <v>1303.5289136795457</v>
      </c>
      <c r="H7" s="12">
        <v>885.07627549789788</v>
      </c>
    </row>
    <row r="9" spans="2:8" x14ac:dyDescent="0.15">
      <c r="B9" s="124"/>
      <c r="C9" s="125" t="s">
        <v>142</v>
      </c>
      <c r="D9" s="124"/>
      <c r="F9" s="124"/>
      <c r="G9" s="125" t="s">
        <v>143</v>
      </c>
      <c r="H9" s="124"/>
    </row>
    <row r="10" spans="2:8" x14ac:dyDescent="0.15">
      <c r="B10" s="124"/>
      <c r="C10" s="60" t="s">
        <v>134</v>
      </c>
      <c r="D10" s="60" t="s">
        <v>135</v>
      </c>
      <c r="F10" s="124"/>
      <c r="G10" s="60" t="s">
        <v>134</v>
      </c>
      <c r="H10" s="60" t="s">
        <v>135</v>
      </c>
    </row>
    <row r="11" spans="2:8" x14ac:dyDescent="0.15">
      <c r="B11" s="7" t="s">
        <v>130</v>
      </c>
      <c r="C11" s="12">
        <v>1349.3182322075688</v>
      </c>
      <c r="D11" s="12"/>
      <c r="F11" s="7" t="s">
        <v>130</v>
      </c>
      <c r="G11" s="12">
        <v>3665.9925523711809</v>
      </c>
      <c r="H11" s="68" t="s">
        <v>136</v>
      </c>
    </row>
    <row r="12" spans="2:8" x14ac:dyDescent="0.15">
      <c r="B12" s="7" t="s">
        <v>131</v>
      </c>
      <c r="C12" s="62">
        <v>0.33071492435728178</v>
      </c>
      <c r="D12" s="62">
        <v>0.30095058116512641</v>
      </c>
      <c r="F12" s="7" t="s">
        <v>131</v>
      </c>
      <c r="G12" s="62">
        <v>0.33363155930452248</v>
      </c>
      <c r="H12" s="69">
        <v>0.30360471896711549</v>
      </c>
    </row>
    <row r="13" spans="2:8" x14ac:dyDescent="0.15">
      <c r="B13" s="7" t="s">
        <v>132</v>
      </c>
      <c r="C13" s="63">
        <v>2.1707858264160258</v>
      </c>
      <c r="D13" s="64">
        <v>0</v>
      </c>
      <c r="F13" s="7" t="s">
        <v>132</v>
      </c>
      <c r="G13" s="63">
        <v>2.6864315398444294</v>
      </c>
      <c r="H13" s="65" t="s">
        <v>137</v>
      </c>
    </row>
    <row r="14" spans="2:8" x14ac:dyDescent="0.15">
      <c r="B14" s="7" t="s">
        <v>133</v>
      </c>
      <c r="C14" s="12">
        <v>621.58054276376834</v>
      </c>
      <c r="D14" s="12" t="e">
        <f>D11/D13</f>
        <v>#DIV/0!</v>
      </c>
      <c r="F14" s="7" t="s">
        <v>133</v>
      </c>
      <c r="G14" s="12">
        <v>1364.6327844198395</v>
      </c>
      <c r="H14" s="12" t="e">
        <f>H11/H13</f>
        <v>#VALUE!</v>
      </c>
    </row>
    <row r="16" spans="2:8" x14ac:dyDescent="0.15">
      <c r="B16" s="52" t="s">
        <v>139</v>
      </c>
    </row>
    <row r="17" spans="2:4" x14ac:dyDescent="0.15">
      <c r="B17" s="47"/>
      <c r="C17" s="66" t="s">
        <v>134</v>
      </c>
      <c r="D17" s="66" t="s">
        <v>135</v>
      </c>
    </row>
    <row r="18" spans="2:4" x14ac:dyDescent="0.15">
      <c r="B18" s="47" t="s">
        <v>138</v>
      </c>
      <c r="C18" s="67"/>
      <c r="D18" s="67"/>
    </row>
    <row r="19" spans="2:4" x14ac:dyDescent="0.15">
      <c r="B19" s="14"/>
      <c r="C19" s="14"/>
      <c r="D19" s="14"/>
    </row>
  </sheetData>
  <mergeCells count="8">
    <mergeCell ref="B9:B10"/>
    <mergeCell ref="C9:D9"/>
    <mergeCell ref="F9:F10"/>
    <mergeCell ref="G9:H9"/>
    <mergeCell ref="F2:F3"/>
    <mergeCell ref="G2:H2"/>
    <mergeCell ref="C2:D2"/>
    <mergeCell ref="B2:B3"/>
  </mergeCells>
  <phoneticPr fontId="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4A60-C6FD-44EA-997D-E4C90DE77AC2}">
  <sheetPr codeName="Arkusz75"/>
  <dimension ref="B2:Z27"/>
  <sheetViews>
    <sheetView showGridLines="0" topLeftCell="A5" workbookViewId="0">
      <selection activeCell="C27" sqref="C27"/>
    </sheetView>
  </sheetViews>
  <sheetFormatPr defaultRowHeight="12.75" x14ac:dyDescent="0.15"/>
  <cols>
    <col min="1" max="1" width="5.390625" customWidth="1"/>
    <col min="2" max="2" width="29.80078125" customWidth="1"/>
    <col min="3" max="3" width="14.0234375" customWidth="1"/>
    <col min="4" max="4" width="5.52734375" customWidth="1"/>
    <col min="5" max="5" width="9.84375" customWidth="1"/>
    <col min="6" max="26" width="5.390625" customWidth="1"/>
  </cols>
  <sheetData>
    <row r="2" spans="2:26" x14ac:dyDescent="0.15">
      <c r="B2" s="14" t="s">
        <v>58</v>
      </c>
    </row>
    <row r="3" spans="2:26" x14ac:dyDescent="0.15">
      <c r="B3" s="30" t="s">
        <v>59</v>
      </c>
    </row>
    <row r="4" spans="2:26" ht="6.75" customHeight="1" x14ac:dyDescent="0.15">
      <c r="B4" s="30"/>
    </row>
    <row r="5" spans="2:26" x14ac:dyDescent="0.15">
      <c r="B5" s="31" t="s">
        <v>60</v>
      </c>
      <c r="C5" s="32">
        <v>0.05</v>
      </c>
    </row>
    <row r="6" spans="2:26" x14ac:dyDescent="0.15">
      <c r="E6" s="7" t="s">
        <v>61</v>
      </c>
      <c r="F6" s="7">
        <v>2010</v>
      </c>
      <c r="G6" s="7">
        <v>2011</v>
      </c>
      <c r="H6" s="7">
        <v>2012</v>
      </c>
      <c r="I6" s="7">
        <v>2013</v>
      </c>
      <c r="J6" s="7">
        <v>2014</v>
      </c>
      <c r="K6" s="7">
        <v>2015</v>
      </c>
      <c r="L6" s="7">
        <v>2016</v>
      </c>
      <c r="M6" s="7">
        <v>2017</v>
      </c>
      <c r="N6" s="7">
        <v>2018</v>
      </c>
      <c r="O6" s="7">
        <v>2019</v>
      </c>
      <c r="P6" s="7">
        <v>2020</v>
      </c>
      <c r="Q6" s="7">
        <v>2021</v>
      </c>
      <c r="R6" s="7">
        <v>2022</v>
      </c>
      <c r="S6" s="7">
        <v>2023</v>
      </c>
      <c r="T6" s="7">
        <v>2024</v>
      </c>
      <c r="U6" s="7">
        <v>2025</v>
      </c>
      <c r="V6" s="7">
        <v>2026</v>
      </c>
      <c r="W6" s="7">
        <v>2027</v>
      </c>
      <c r="X6" s="7">
        <v>2028</v>
      </c>
      <c r="Y6" s="7">
        <v>2029</v>
      </c>
      <c r="Z6" s="7">
        <v>2030</v>
      </c>
    </row>
    <row r="7" spans="2:26" x14ac:dyDescent="0.15">
      <c r="B7" s="33" t="s">
        <v>62</v>
      </c>
      <c r="C7" s="34">
        <f>F7/(1+C5)+G7/(1+C5)^2+H7/(1+C5)^3</f>
        <v>11.919231184537306</v>
      </c>
      <c r="E7" s="7" t="s">
        <v>63</v>
      </c>
      <c r="F7" s="3">
        <v>1.2</v>
      </c>
      <c r="G7" s="3">
        <v>9.5</v>
      </c>
      <c r="H7" s="3">
        <v>2.5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</row>
    <row r="8" spans="2:26" x14ac:dyDescent="0.15">
      <c r="B8" s="31" t="s">
        <v>64</v>
      </c>
      <c r="C8" s="35"/>
      <c r="E8" s="7" t="s">
        <v>65</v>
      </c>
      <c r="F8" s="3">
        <v>0</v>
      </c>
      <c r="G8" s="3">
        <v>0</v>
      </c>
      <c r="H8" s="3">
        <v>1.1000000000000001</v>
      </c>
      <c r="I8" s="36">
        <v>1.1440000000000001</v>
      </c>
      <c r="J8" s="36">
        <v>1.1897600000000002</v>
      </c>
      <c r="K8" s="36">
        <v>1.2373504000000002</v>
      </c>
      <c r="L8" s="36">
        <v>1.2868444160000003</v>
      </c>
      <c r="M8" s="36">
        <v>1.3383181926400003</v>
      </c>
      <c r="N8" s="36">
        <v>1.3918509203456004</v>
      </c>
      <c r="O8" s="36">
        <v>1.4475249571594244</v>
      </c>
      <c r="P8" s="36">
        <v>1.5054259554458014</v>
      </c>
      <c r="Q8" s="36">
        <v>1.5656429936636336</v>
      </c>
      <c r="R8" s="36">
        <v>1.628268713410179</v>
      </c>
      <c r="S8" s="36">
        <v>1.6933994619465862</v>
      </c>
      <c r="T8" s="36">
        <v>1.7611354404244497</v>
      </c>
      <c r="U8" s="36">
        <v>1.8315808580414277</v>
      </c>
      <c r="V8" s="36">
        <v>1.9048440923630849</v>
      </c>
      <c r="W8" s="36">
        <v>1.9810378560576085</v>
      </c>
      <c r="X8" s="36">
        <v>2.0602793702999129</v>
      </c>
      <c r="Y8" s="36">
        <v>2.1426905451119094</v>
      </c>
      <c r="Z8" s="36">
        <v>2.2283981669163859</v>
      </c>
    </row>
    <row r="9" spans="2:26" x14ac:dyDescent="0.15">
      <c r="E9" s="7" t="s">
        <v>66</v>
      </c>
      <c r="F9" s="3">
        <f t="shared" ref="F9:Z9" si="0">F8-F7</f>
        <v>-1.2</v>
      </c>
      <c r="G9" s="3">
        <f t="shared" si="0"/>
        <v>-9.5</v>
      </c>
      <c r="H9" s="3">
        <f t="shared" si="0"/>
        <v>-1.4</v>
      </c>
      <c r="I9" s="3">
        <f t="shared" si="0"/>
        <v>1.1440000000000001</v>
      </c>
      <c r="J9" s="3">
        <f t="shared" si="0"/>
        <v>1.1897600000000002</v>
      </c>
      <c r="K9" s="3">
        <f t="shared" si="0"/>
        <v>1.2373504000000002</v>
      </c>
      <c r="L9" s="3">
        <f t="shared" si="0"/>
        <v>1.2868444160000003</v>
      </c>
      <c r="M9" s="3">
        <f t="shared" si="0"/>
        <v>1.3383181926400003</v>
      </c>
      <c r="N9" s="3">
        <f t="shared" si="0"/>
        <v>1.3918509203456004</v>
      </c>
      <c r="O9" s="3">
        <f t="shared" si="0"/>
        <v>1.4475249571594244</v>
      </c>
      <c r="P9" s="3">
        <f t="shared" si="0"/>
        <v>1.5054259554458014</v>
      </c>
      <c r="Q9" s="3">
        <f t="shared" si="0"/>
        <v>1.5656429936636336</v>
      </c>
      <c r="R9" s="3">
        <f t="shared" si="0"/>
        <v>1.628268713410179</v>
      </c>
      <c r="S9" s="3">
        <f t="shared" si="0"/>
        <v>1.6933994619465862</v>
      </c>
      <c r="T9" s="3">
        <f t="shared" si="0"/>
        <v>1.7611354404244497</v>
      </c>
      <c r="U9" s="3">
        <f t="shared" si="0"/>
        <v>1.8315808580414277</v>
      </c>
      <c r="V9" s="3">
        <f t="shared" si="0"/>
        <v>1.9048440923630849</v>
      </c>
      <c r="W9" s="3">
        <f t="shared" si="0"/>
        <v>1.9810378560576085</v>
      </c>
      <c r="X9" s="3">
        <f t="shared" si="0"/>
        <v>2.0602793702999129</v>
      </c>
      <c r="Y9" s="3">
        <f t="shared" si="0"/>
        <v>2.1426905451119094</v>
      </c>
      <c r="Z9" s="3">
        <f t="shared" si="0"/>
        <v>2.2283981669163859</v>
      </c>
    </row>
    <row r="10" spans="2:26" x14ac:dyDescent="0.15">
      <c r="B10" s="31" t="s">
        <v>67</v>
      </c>
      <c r="C10" s="37">
        <f>NPV(C5,F8:Z8)</f>
        <v>16.587125861354135</v>
      </c>
    </row>
    <row r="11" spans="2:26" x14ac:dyDescent="0.15">
      <c r="C11" s="38"/>
    </row>
    <row r="12" spans="2:26" x14ac:dyDescent="0.15">
      <c r="B12" s="31" t="s">
        <v>68</v>
      </c>
      <c r="C12" s="37">
        <f>C10-C8</f>
        <v>16.587125861354135</v>
      </c>
    </row>
    <row r="13" spans="2:26" x14ac:dyDescent="0.15">
      <c r="B13" s="39" t="s">
        <v>69</v>
      </c>
      <c r="C13" s="40">
        <f>NPV(C5,F9:Z9)</f>
        <v>4.6678946768168332</v>
      </c>
    </row>
    <row r="16" spans="2:26" x14ac:dyDescent="0.15">
      <c r="B16" s="14" t="s">
        <v>70</v>
      </c>
    </row>
    <row r="17" spans="2:15" x14ac:dyDescent="0.15">
      <c r="B17" s="30" t="s">
        <v>71</v>
      </c>
    </row>
    <row r="18" spans="2:15" x14ac:dyDescent="0.15">
      <c r="B18" s="31" t="s">
        <v>72</v>
      </c>
      <c r="C18" s="41">
        <f>IRR(F9:Z9)</f>
        <v>8.8863727413020843E-2</v>
      </c>
    </row>
    <row r="26" spans="2:15" x14ac:dyDescent="0.15">
      <c r="B26" s="14" t="s">
        <v>73</v>
      </c>
      <c r="E26" s="7"/>
      <c r="F26" s="7">
        <v>2010</v>
      </c>
      <c r="G26" s="7">
        <v>2011</v>
      </c>
      <c r="H26" s="7">
        <v>2012</v>
      </c>
      <c r="I26" s="7">
        <v>2013</v>
      </c>
      <c r="J26" s="7">
        <v>2014</v>
      </c>
      <c r="K26" s="7">
        <v>2015</v>
      </c>
      <c r="L26" s="7">
        <v>2016</v>
      </c>
      <c r="M26" s="7">
        <v>2017</v>
      </c>
      <c r="N26" s="7">
        <v>2018</v>
      </c>
      <c r="O26" s="7">
        <v>2019</v>
      </c>
    </row>
    <row r="27" spans="2:15" x14ac:dyDescent="0.15">
      <c r="B27" s="31" t="s">
        <v>74</v>
      </c>
      <c r="C27" s="42"/>
      <c r="E27" s="7" t="s">
        <v>75</v>
      </c>
      <c r="F27" s="36">
        <v>10</v>
      </c>
      <c r="G27" s="36">
        <f t="shared" ref="G27:O27" si="1">F27*1.1</f>
        <v>11</v>
      </c>
      <c r="H27" s="36">
        <f t="shared" si="1"/>
        <v>12.100000000000001</v>
      </c>
      <c r="I27" s="36">
        <f t="shared" si="1"/>
        <v>13.310000000000002</v>
      </c>
      <c r="J27" s="36">
        <f t="shared" si="1"/>
        <v>14.641000000000004</v>
      </c>
      <c r="K27" s="36">
        <f t="shared" si="1"/>
        <v>16.105100000000004</v>
      </c>
      <c r="L27" s="36">
        <f t="shared" si="1"/>
        <v>17.715610000000005</v>
      </c>
      <c r="M27" s="36">
        <f t="shared" si="1"/>
        <v>19.487171000000007</v>
      </c>
      <c r="N27" s="36">
        <f t="shared" si="1"/>
        <v>21.43588810000001</v>
      </c>
      <c r="O27" s="36">
        <f t="shared" si="1"/>
        <v>23.579476910000015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4382-2D87-41E8-A667-297CB0352203}">
  <dimension ref="B2:D13"/>
  <sheetViews>
    <sheetView workbookViewId="0">
      <selection activeCell="G40" sqref="G40"/>
    </sheetView>
  </sheetViews>
  <sheetFormatPr defaultRowHeight="12.75" x14ac:dyDescent="0.15"/>
  <cols>
    <col min="2" max="2" width="5.93359375" customWidth="1"/>
    <col min="3" max="3" width="14.15625" style="71" bestFit="1" customWidth="1"/>
    <col min="4" max="4" width="10.11328125" bestFit="1" customWidth="1"/>
  </cols>
  <sheetData>
    <row r="2" spans="2:4" x14ac:dyDescent="0.15">
      <c r="B2" s="126" t="s">
        <v>145</v>
      </c>
      <c r="C2" s="126"/>
      <c r="D2" s="126"/>
    </row>
    <row r="3" spans="2:4" x14ac:dyDescent="0.15">
      <c r="B3" s="4" t="s">
        <v>146</v>
      </c>
      <c r="C3" s="72" t="s">
        <v>147</v>
      </c>
      <c r="D3" s="3" t="s">
        <v>148</v>
      </c>
    </row>
    <row r="4" spans="2:4" x14ac:dyDescent="0.15">
      <c r="B4" s="4">
        <f t="shared" ref="B4:B13" si="0">ROW()-3</f>
        <v>1</v>
      </c>
      <c r="C4" s="72" t="s">
        <v>149</v>
      </c>
      <c r="D4" s="73">
        <v>40435</v>
      </c>
    </row>
    <row r="5" spans="2:4" x14ac:dyDescent="0.15">
      <c r="B5" s="4">
        <f t="shared" si="0"/>
        <v>2</v>
      </c>
      <c r="C5" s="72" t="s">
        <v>150</v>
      </c>
      <c r="D5" s="73">
        <v>40451</v>
      </c>
    </row>
    <row r="6" spans="2:4" x14ac:dyDescent="0.15">
      <c r="B6" s="4">
        <f t="shared" si="0"/>
        <v>3</v>
      </c>
      <c r="C6" s="72" t="s">
        <v>151</v>
      </c>
      <c r="D6" s="73">
        <v>40467</v>
      </c>
    </row>
    <row r="7" spans="2:4" x14ac:dyDescent="0.15">
      <c r="B7" s="4">
        <f t="shared" si="0"/>
        <v>4</v>
      </c>
      <c r="C7" s="72" t="s">
        <v>152</v>
      </c>
      <c r="D7" s="73">
        <v>40483</v>
      </c>
    </row>
    <row r="8" spans="2:4" x14ac:dyDescent="0.15">
      <c r="B8" s="4">
        <f t="shared" si="0"/>
        <v>5</v>
      </c>
      <c r="C8" s="72" t="s">
        <v>153</v>
      </c>
      <c r="D8" s="73">
        <v>40499</v>
      </c>
    </row>
    <row r="9" spans="2:4" x14ac:dyDescent="0.15">
      <c r="B9" s="4">
        <f t="shared" si="0"/>
        <v>6</v>
      </c>
      <c r="C9" s="72" t="s">
        <v>154</v>
      </c>
      <c r="D9" s="73">
        <v>40515</v>
      </c>
    </row>
    <row r="10" spans="2:4" x14ac:dyDescent="0.15">
      <c r="B10" s="4">
        <f t="shared" si="0"/>
        <v>7</v>
      </c>
      <c r="C10" s="72" t="s">
        <v>155</v>
      </c>
      <c r="D10" s="73">
        <v>40531</v>
      </c>
    </row>
    <row r="11" spans="2:4" x14ac:dyDescent="0.15">
      <c r="B11" s="4">
        <f t="shared" si="0"/>
        <v>8</v>
      </c>
      <c r="C11" s="72" t="s">
        <v>156</v>
      </c>
      <c r="D11" s="73">
        <v>40547</v>
      </c>
    </row>
    <row r="12" spans="2:4" x14ac:dyDescent="0.15">
      <c r="B12" s="4">
        <f t="shared" si="0"/>
        <v>9</v>
      </c>
      <c r="C12" s="72" t="s">
        <v>157</v>
      </c>
      <c r="D12" s="73">
        <v>40563</v>
      </c>
    </row>
    <row r="13" spans="2:4" x14ac:dyDescent="0.15">
      <c r="B13" s="4">
        <f t="shared" si="0"/>
        <v>10</v>
      </c>
      <c r="C13" s="72" t="s">
        <v>158</v>
      </c>
      <c r="D13" s="73">
        <v>40579</v>
      </c>
    </row>
  </sheetData>
  <mergeCells count="1">
    <mergeCell ref="B2:D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12F9-DED9-4D5A-82B7-17FB2AE14C6E}">
  <dimension ref="B2:C13"/>
  <sheetViews>
    <sheetView tabSelected="1" workbookViewId="0">
      <selection activeCell="F29" sqref="F29"/>
    </sheetView>
  </sheetViews>
  <sheetFormatPr defaultRowHeight="12.75" x14ac:dyDescent="0.15"/>
  <cols>
    <col min="2" max="2" width="7.28125" style="2" bestFit="1" customWidth="1"/>
    <col min="3" max="3" width="14.5625" style="2" bestFit="1" customWidth="1"/>
  </cols>
  <sheetData>
    <row r="2" spans="2:3" x14ac:dyDescent="0.15">
      <c r="B2" s="60" t="s">
        <v>128</v>
      </c>
      <c r="C2" s="60" t="s">
        <v>129</v>
      </c>
    </row>
    <row r="3" spans="2:3" x14ac:dyDescent="0.15">
      <c r="B3" s="4">
        <v>5</v>
      </c>
      <c r="C3" s="4">
        <f>ABS(B3)</f>
        <v>5</v>
      </c>
    </row>
    <row r="4" spans="2:3" x14ac:dyDescent="0.15">
      <c r="B4" s="4">
        <v>4</v>
      </c>
      <c r="C4" s="4">
        <f t="shared" ref="C4:C13" si="0">ABS(B4)</f>
        <v>4</v>
      </c>
    </row>
    <row r="5" spans="2:3" x14ac:dyDescent="0.15">
      <c r="B5" s="4">
        <v>3</v>
      </c>
      <c r="C5" s="4">
        <f t="shared" si="0"/>
        <v>3</v>
      </c>
    </row>
    <row r="6" spans="2:3" x14ac:dyDescent="0.15">
      <c r="B6" s="4">
        <v>2</v>
      </c>
      <c r="C6" s="4">
        <f t="shared" si="0"/>
        <v>2</v>
      </c>
    </row>
    <row r="7" spans="2:3" x14ac:dyDescent="0.15">
      <c r="B7" s="4">
        <v>1</v>
      </c>
      <c r="C7" s="4">
        <f t="shared" si="0"/>
        <v>1</v>
      </c>
    </row>
    <row r="8" spans="2:3" x14ac:dyDescent="0.15">
      <c r="B8" s="4">
        <v>0</v>
      </c>
      <c r="C8" s="4">
        <f t="shared" si="0"/>
        <v>0</v>
      </c>
    </row>
    <row r="9" spans="2:3" x14ac:dyDescent="0.15">
      <c r="B9" s="4">
        <v>-1</v>
      </c>
      <c r="C9" s="4">
        <f t="shared" si="0"/>
        <v>1</v>
      </c>
    </row>
    <row r="10" spans="2:3" x14ac:dyDescent="0.15">
      <c r="B10" s="4">
        <v>-2</v>
      </c>
      <c r="C10" s="4">
        <f t="shared" si="0"/>
        <v>2</v>
      </c>
    </row>
    <row r="11" spans="2:3" x14ac:dyDescent="0.15">
      <c r="B11" s="4">
        <v>-3</v>
      </c>
      <c r="C11" s="4">
        <f t="shared" si="0"/>
        <v>3</v>
      </c>
    </row>
    <row r="12" spans="2:3" x14ac:dyDescent="0.15">
      <c r="B12" s="4">
        <v>-4</v>
      </c>
      <c r="C12" s="4">
        <f t="shared" si="0"/>
        <v>4</v>
      </c>
    </row>
    <row r="13" spans="2:3" x14ac:dyDescent="0.15">
      <c r="B13" s="4">
        <v>-5</v>
      </c>
      <c r="C13" s="4">
        <f t="shared" si="0"/>
        <v>5</v>
      </c>
    </row>
  </sheetData>
  <phoneticPr fontId="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FA8-01C2-4A6D-839C-65527E59F5B8}">
  <sheetPr codeName="Arkusz76"/>
  <dimension ref="B3:G13"/>
  <sheetViews>
    <sheetView showGridLines="0" workbookViewId="0">
      <selection activeCell="C4" sqref="C4"/>
    </sheetView>
  </sheetViews>
  <sheetFormatPr defaultRowHeight="12.75" x14ac:dyDescent="0.15"/>
  <cols>
    <col min="1" max="1" width="3.234375" customWidth="1"/>
    <col min="2" max="2" width="11.4609375" style="2" bestFit="1" customWidth="1"/>
    <col min="3" max="3" width="9.16796875" style="2"/>
    <col min="4" max="4" width="2.96484375" style="13" customWidth="1"/>
    <col min="5" max="5" width="11.4609375" bestFit="1" customWidth="1"/>
    <col min="6" max="6" width="8.08984375" style="46" customWidth="1"/>
  </cols>
  <sheetData>
    <row r="3" spans="2:7" x14ac:dyDescent="0.15">
      <c r="B3" s="4" t="s">
        <v>76</v>
      </c>
      <c r="C3" s="4" t="s">
        <v>77</v>
      </c>
      <c r="E3" s="3" t="s">
        <v>76</v>
      </c>
      <c r="F3" s="43" t="s">
        <v>77</v>
      </c>
    </row>
    <row r="4" spans="2:7" x14ac:dyDescent="0.15">
      <c r="B4" s="4">
        <v>2</v>
      </c>
      <c r="C4" s="44">
        <f>CHOOSE(B4,F4,F5,F6,F7,F8)</f>
        <v>6.3560868125488251E-2</v>
      </c>
      <c r="E4" s="3">
        <v>1</v>
      </c>
      <c r="F4" s="45">
        <v>0.05</v>
      </c>
    </row>
    <row r="5" spans="2:7" x14ac:dyDescent="0.15">
      <c r="E5" s="3">
        <v>2</v>
      </c>
      <c r="F5" s="45">
        <v>6.3560868125488251E-2</v>
      </c>
    </row>
    <row r="6" spans="2:7" x14ac:dyDescent="0.15">
      <c r="E6" s="3">
        <v>3</v>
      </c>
      <c r="F6" s="45">
        <v>8.2284261358648886E-2</v>
      </c>
    </row>
    <row r="7" spans="2:7" x14ac:dyDescent="0.15">
      <c r="E7" s="3">
        <v>4</v>
      </c>
      <c r="F7" s="45">
        <v>9.4510652743241622E-2</v>
      </c>
    </row>
    <row r="8" spans="2:7" x14ac:dyDescent="0.15">
      <c r="E8" s="3">
        <v>5</v>
      </c>
      <c r="F8" s="45">
        <v>9.6539470481160614E-2</v>
      </c>
    </row>
    <row r="13" spans="2:7" x14ac:dyDescent="0.15">
      <c r="G13" t="s">
        <v>78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SUMA</vt:lpstr>
      <vt:lpstr>ŚREDNIA</vt:lpstr>
      <vt:lpstr>JEŻELI</vt:lpstr>
      <vt:lpstr>ZAOKR</vt:lpstr>
      <vt:lpstr>MAX MIN</vt:lpstr>
      <vt:lpstr>ILE.NIEPUSTYCH</vt:lpstr>
      <vt:lpstr>DZIŚ</vt:lpstr>
      <vt:lpstr>LUB ORAZ</vt:lpstr>
      <vt:lpstr>Zagnieżdżanie Funkcji</vt:lpstr>
      <vt:lpstr>SUMA.ILOCZYNÓW</vt:lpstr>
      <vt:lpstr>Funkcje Tekstowe</vt:lpstr>
      <vt:lpstr>CZY.BŁĄD</vt:lpstr>
      <vt:lpstr>Funkcje Finansowe</vt:lpstr>
      <vt:lpstr>WIERSZ</vt:lpstr>
      <vt:lpstr>MODUŁ.LICZBY</vt:lpstr>
      <vt:lpstr>WYBIERZ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Szyperski</dc:creator>
  <cp:lastModifiedBy>X</cp:lastModifiedBy>
  <dcterms:created xsi:type="dcterms:W3CDTF">2009-02-10T08:12:51Z</dcterms:created>
  <dcterms:modified xsi:type="dcterms:W3CDTF">2025-12-09T08:37:44Z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7819&quot;&gt;&lt;version val=&quot;17874&quot;/&gt;&lt;CXlWorkbook id=&quot;1&quot;&gt;&lt;m_cxllink/&gt;&lt;/CXlWorkbook&gt;&lt;/root&gt;">
    <vt:bool>false</vt:bool>
  </property>
</Properties>
</file>